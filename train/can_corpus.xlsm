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rilleelty01/Documents/project/train/"/>
    </mc:Choice>
  </mc:AlternateContent>
  <xr:revisionPtr revIDLastSave="0" documentId="13_ncr:1_{F57DFF81-BC53-474D-B795-7A1F20933C15}" xr6:coauthVersionLast="47" xr6:coauthVersionMax="47" xr10:uidLastSave="{00000000-0000-0000-0000-000000000000}"/>
  <bookViews>
    <workbookView xWindow="0" yWindow="600" windowWidth="25600" windowHeight="15400" xr2:uid="{EF1FA936-A4F7-2D48-9933-FAED3ACDB84A}"/>
  </bookViews>
  <sheets>
    <sheet name="Sheet1" sheetId="1" r:id="rId1"/>
  </sheets>
  <definedNames>
    <definedName name="_xlnm._FilterDatabase" localSheetId="0" hidden="1">Sheet1!$A$1:$F$143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1" l="1"/>
  <c r="M12" i="1"/>
  <c r="K4" i="1" l="1"/>
  <c r="J19" i="1" a="1"/>
  <c r="J19" i="1" s="1"/>
  <c r="K19" i="1" s="1" a="1"/>
  <c r="K19" i="1" s="1"/>
  <c r="O12" i="1"/>
  <c r="O11" i="1"/>
  <c r="K16" i="1"/>
  <c r="K15" i="1"/>
  <c r="M11" i="1"/>
  <c r="O10" i="1"/>
  <c r="O9" i="1"/>
  <c r="O8" i="1"/>
  <c r="O7" i="1"/>
  <c r="M10" i="1"/>
  <c r="M9" i="1"/>
  <c r="M8" i="1"/>
  <c r="M7" i="1"/>
  <c r="K14" i="1"/>
  <c r="K12" i="1"/>
  <c r="K11" i="1"/>
  <c r="K10" i="1"/>
  <c r="K9" i="1"/>
  <c r="K8" i="1"/>
  <c r="K7" i="1"/>
  <c r="K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<sst xmlns="http://schemas.openxmlformats.org/spreadsheetml/2006/main" count="937" uniqueCount="452">
  <si>
    <t>cantonese_text</t>
  </si>
  <si>
    <t>english_translation</t>
  </si>
  <si>
    <t>relationship</t>
  </si>
  <si>
    <t>notes</t>
  </si>
  <si>
    <t>Emotion</t>
  </si>
  <si>
    <t>emotion</t>
  </si>
  <si>
    <t>Statistics</t>
  </si>
  <si>
    <t>Entry number</t>
  </si>
  <si>
    <t>Sadness</t>
  </si>
  <si>
    <t>Fear</t>
  </si>
  <si>
    <t>Neutral</t>
  </si>
  <si>
    <t>Surprised</t>
  </si>
  <si>
    <t>Love</t>
  </si>
  <si>
    <t>Anger</t>
  </si>
  <si>
    <t>Joy</t>
  </si>
  <si>
    <t>Expect</t>
  </si>
  <si>
    <t>Respectful</t>
  </si>
  <si>
    <t>Attitude</t>
  </si>
  <si>
    <t>Non-respectful</t>
  </si>
  <si>
    <t>Irony</t>
  </si>
  <si>
    <t>Playful</t>
  </si>
  <si>
    <t>Mockery</t>
  </si>
  <si>
    <t>Relationship</t>
  </si>
  <si>
    <t>Family</t>
  </si>
  <si>
    <t>Friends</t>
  </si>
  <si>
    <t>Hierarchical</t>
  </si>
  <si>
    <t>Professional</t>
  </si>
  <si>
    <t>不如去打波吖</t>
  </si>
  <si>
    <t>Let's play ball, shall we?</t>
  </si>
  <si>
    <t>食咗飯未呀</t>
  </si>
  <si>
    <t>唔該晒你呀</t>
  </si>
  <si>
    <t>唔呀</t>
  </si>
  <si>
    <t>點呀你</t>
  </si>
  <si>
    <t>我鍾意呀</t>
  </si>
  <si>
    <t>你玩我呀</t>
  </si>
  <si>
    <t>Thank you very much</t>
  </si>
  <si>
    <t>I THANK YOU very much!</t>
  </si>
  <si>
    <t>No</t>
  </si>
  <si>
    <t>How are you?</t>
  </si>
  <si>
    <t>Hello/ How are you?</t>
  </si>
  <si>
    <t>How now/ You good?</t>
  </si>
  <si>
    <t>Do you have a problem?</t>
  </si>
  <si>
    <t>attitude</t>
  </si>
  <si>
    <t>呀</t>
  </si>
  <si>
    <t>Are you making fun with me?</t>
  </si>
  <si>
    <t>I like it, so what?</t>
  </si>
  <si>
    <t>佢去呀嘛</t>
  </si>
  <si>
    <t>呀嘛</t>
  </si>
  <si>
    <t>Caring</t>
  </si>
  <si>
    <t>Not good</t>
  </si>
  <si>
    <t>Are you out of your mind?</t>
  </si>
  <si>
    <t>He is going, isn't he?</t>
  </si>
  <si>
    <t>He is going.</t>
  </si>
  <si>
    <t>emphasize</t>
  </si>
  <si>
    <t>你無嘢呀嘛</t>
  </si>
  <si>
    <t>係咁先啦</t>
  </si>
  <si>
    <t>你明㗎啦</t>
  </si>
  <si>
    <t>第日飲茶啦</t>
  </si>
  <si>
    <t>咁唔阻你喇</t>
  </si>
  <si>
    <t>遲晒大到喇喂</t>
  </si>
  <si>
    <t>你唔會明㗎喇</t>
  </si>
  <si>
    <t>唔鬧你就怪喇</t>
  </si>
  <si>
    <t>就係咁嘞</t>
  </si>
  <si>
    <t>你再講吖嗱</t>
  </si>
  <si>
    <t>Worry</t>
  </si>
  <si>
    <t>Are you ok?</t>
  </si>
  <si>
    <t>Family, Friends</t>
  </si>
  <si>
    <t>sfp</t>
  </si>
  <si>
    <t>Expect, Worry</t>
  </si>
  <si>
    <t>parting</t>
  </si>
  <si>
    <t>That's it for now</t>
  </si>
  <si>
    <t>See you soon</t>
  </si>
  <si>
    <t>You get what I mean</t>
  </si>
  <si>
    <t>對唔住囉</t>
  </si>
  <si>
    <t>咪去囉</t>
  </si>
  <si>
    <t>該煨咯</t>
  </si>
  <si>
    <t>落雨咯</t>
  </si>
  <si>
    <t>囉</t>
  </si>
  <si>
    <t>咯</t>
  </si>
  <si>
    <t>啦</t>
  </si>
  <si>
    <t>喇</t>
  </si>
  <si>
    <t>喇喂</t>
  </si>
  <si>
    <t>㗎喇</t>
  </si>
  <si>
    <t>嘞</t>
  </si>
  <si>
    <t>吖嗱</t>
  </si>
  <si>
    <t>就快做完嘞</t>
  </si>
  <si>
    <t>unwilling</t>
  </si>
  <si>
    <t>I should go for now</t>
  </si>
  <si>
    <t>You're already very late</t>
  </si>
  <si>
    <t>You 're going to be late!!</t>
  </si>
  <si>
    <t>It's complicated</t>
  </si>
  <si>
    <t>You could have been scolded</t>
  </si>
  <si>
    <t>I'm almost done</t>
  </si>
  <si>
    <t>That's it/ That's all</t>
  </si>
  <si>
    <t>You dare say that again</t>
  </si>
  <si>
    <t>Don't go</t>
  </si>
  <si>
    <t>Just go</t>
  </si>
  <si>
    <t>mai5</t>
  </si>
  <si>
    <t>mai6</t>
  </si>
  <si>
    <t>It's finally raining.</t>
  </si>
  <si>
    <t>Respectful, Playful</t>
  </si>
  <si>
    <t>OMG!</t>
  </si>
  <si>
    <t>Neutral, Joy</t>
  </si>
  <si>
    <t>Warning</t>
  </si>
  <si>
    <t>Oh dear!</t>
  </si>
  <si>
    <t>我夠知嚛</t>
  </si>
  <si>
    <t>都話唔要嚛</t>
  </si>
  <si>
    <t>Yes I have known</t>
  </si>
  <si>
    <t>I said I don’t want it!</t>
  </si>
  <si>
    <t>嚛</t>
  </si>
  <si>
    <t>不如出街囉</t>
  </si>
  <si>
    <t>Let's hang out</t>
  </si>
  <si>
    <t>你又何必呢</t>
  </si>
  <si>
    <t>呢你又知唔知</t>
  </si>
  <si>
    <t>Why did you do that</t>
  </si>
  <si>
    <t>呢</t>
  </si>
  <si>
    <t>Hey, do you know…</t>
  </si>
  <si>
    <t>呢度呢</t>
  </si>
  <si>
    <t>Here…</t>
  </si>
  <si>
    <t>Excited</t>
  </si>
  <si>
    <t>Friends, Not good</t>
  </si>
  <si>
    <t>Strangers</t>
  </si>
  <si>
    <t>Family, Friends, Hierarchical, Professional, Strangers</t>
  </si>
  <si>
    <t>Family, Friends, Strangers</t>
  </si>
  <si>
    <t>Joy, Excited, Expect</t>
  </si>
  <si>
    <t>Friends, Strangers</t>
  </si>
  <si>
    <t>Friends, Professional</t>
  </si>
  <si>
    <t>Surprised, Excited</t>
  </si>
  <si>
    <t>Family, Strangers</t>
  </si>
  <si>
    <t>Yeah sorrryy~</t>
  </si>
  <si>
    <t>係呀</t>
  </si>
  <si>
    <t>講真㗎</t>
  </si>
  <si>
    <t>Yes I mean it</t>
  </si>
  <si>
    <t>Is it?/ Really?</t>
  </si>
  <si>
    <t>Yes.</t>
  </si>
  <si>
    <t>Surprised, Joy, Expect, Excited</t>
  </si>
  <si>
    <t>㗎</t>
  </si>
  <si>
    <t>Family, Friends, Hierarchical, Professional</t>
  </si>
  <si>
    <t>幫我呢</t>
  </si>
  <si>
    <t>Help me please~</t>
  </si>
  <si>
    <t>唔係哩</t>
  </si>
  <si>
    <t>Nah</t>
  </si>
  <si>
    <t>Neutral, Worry</t>
  </si>
  <si>
    <t>哩</t>
  </si>
  <si>
    <t>Oh heavens</t>
  </si>
  <si>
    <t>陰公囉</t>
  </si>
  <si>
    <t>Why did you not do it?</t>
  </si>
  <si>
    <t>Anger, Expect</t>
  </si>
  <si>
    <t>Respectful, Warning</t>
  </si>
  <si>
    <t>Family, Friends, Hierarchical, Notgood</t>
  </si>
  <si>
    <t>個個都係咁㗎啦</t>
  </si>
  <si>
    <t>咁點解唔做呢</t>
  </si>
  <si>
    <t>係咁嗰喎</t>
  </si>
  <si>
    <t>Everyone is like this</t>
  </si>
  <si>
    <t>㗎啦</t>
  </si>
  <si>
    <t>嗰喎</t>
  </si>
  <si>
    <t>It is how it is</t>
  </si>
  <si>
    <t>講笑啫</t>
  </si>
  <si>
    <t>一千蚊啫</t>
  </si>
  <si>
    <t>你真係叻既啫</t>
  </si>
  <si>
    <t>唔好理佢啫</t>
  </si>
  <si>
    <t>行得未啫</t>
  </si>
  <si>
    <t>就咁吒嘛</t>
  </si>
  <si>
    <t>麻麻地喎</t>
  </si>
  <si>
    <t>Just joking</t>
  </si>
  <si>
    <t>It's just $1000 dollars</t>
  </si>
  <si>
    <t>You're brilliant!</t>
  </si>
  <si>
    <t>Just like that</t>
  </si>
  <si>
    <t>You're very dumb</t>
  </si>
  <si>
    <t>Don't mind him</t>
  </si>
  <si>
    <t>Are you ready to go yet?</t>
  </si>
  <si>
    <t>This is so-so.</t>
  </si>
  <si>
    <t>啫</t>
  </si>
  <si>
    <t>吒嘛</t>
  </si>
  <si>
    <t>喎</t>
  </si>
  <si>
    <t>Neutral, Expect</t>
  </si>
  <si>
    <t>Anger, Expect, Worry, Excited</t>
  </si>
  <si>
    <t>It's just like this</t>
  </si>
  <si>
    <t>Playful, Mockery</t>
  </si>
  <si>
    <t>就咁咋</t>
  </si>
  <si>
    <t>就咁㗎咋</t>
  </si>
  <si>
    <t>scoff</t>
  </si>
  <si>
    <t>Is that so?</t>
  </si>
  <si>
    <t>That's it/ that's all</t>
  </si>
  <si>
    <t>其實就咁嘅</t>
  </si>
  <si>
    <t>係既</t>
  </si>
  <si>
    <t>可以既</t>
  </si>
  <si>
    <t>可以既咩</t>
  </si>
  <si>
    <t>係咁既咩</t>
  </si>
  <si>
    <t>真咩</t>
  </si>
  <si>
    <t>咁既既嘢</t>
  </si>
  <si>
    <t>such unpleasant things</t>
  </si>
  <si>
    <t>The fact is…</t>
  </si>
  <si>
    <t>Yes</t>
  </si>
  <si>
    <t>Yea sure</t>
  </si>
  <si>
    <t>You can, but…</t>
  </si>
  <si>
    <t xml:space="preserve">You can? </t>
  </si>
  <si>
    <t>unsure</t>
  </si>
  <si>
    <t>doubtful</t>
  </si>
  <si>
    <t>That's it?</t>
  </si>
  <si>
    <t>Really?</t>
  </si>
  <si>
    <t>係你負責𠺢嘛</t>
  </si>
  <si>
    <t>我記得係咁𠿪</t>
  </si>
  <si>
    <t>我走㗎啦噃</t>
  </si>
  <si>
    <t>噃 = bo3</t>
  </si>
  <si>
    <t>我走㗎啦喎</t>
  </si>
  <si>
    <t>Then I am leaving now</t>
  </si>
  <si>
    <t>Neutral, Anger</t>
  </si>
  <si>
    <t>唔要㗎喇可</t>
  </si>
  <si>
    <t>Do you still need this?</t>
  </si>
  <si>
    <t>It's your responsibility (?)</t>
  </si>
  <si>
    <t>I remember it should be like this</t>
  </si>
  <si>
    <t>係喎</t>
  </si>
  <si>
    <t>係噃</t>
  </si>
  <si>
    <t>唔可以咁㗎噃</t>
  </si>
  <si>
    <t>佢話係咁個喎</t>
  </si>
  <si>
    <t>佢話會嚟喎</t>
  </si>
  <si>
    <t>唔係啩</t>
  </si>
  <si>
    <t>真㗎</t>
  </si>
  <si>
    <t>你同我講吖嘛</t>
  </si>
  <si>
    <t>Right</t>
  </si>
  <si>
    <t>You cannot do this</t>
  </si>
  <si>
    <t>He pretend he didn't know me!</t>
  </si>
  <si>
    <t>He said this is how it is</t>
  </si>
  <si>
    <t>He promised he will come</t>
  </si>
  <si>
    <t>Is this true?</t>
  </si>
  <si>
    <t>You should have told me</t>
  </si>
  <si>
    <t>唔係咁呀嘛</t>
  </si>
  <si>
    <t>關事咩</t>
  </si>
  <si>
    <t>仲有啲橙皮添</t>
  </si>
  <si>
    <t>坐低先</t>
  </si>
  <si>
    <t>唔係吓哇</t>
  </si>
  <si>
    <t>搞掂lu</t>
  </si>
  <si>
    <t>咋</t>
  </si>
  <si>
    <t>㗎咋</t>
  </si>
  <si>
    <t>嘅</t>
  </si>
  <si>
    <t>既</t>
  </si>
  <si>
    <t>既咩</t>
  </si>
  <si>
    <t>咩</t>
  </si>
  <si>
    <t>𠺢嘛</t>
  </si>
  <si>
    <t>𠿪</t>
  </si>
  <si>
    <t>噃</t>
  </si>
  <si>
    <t>應該仲有佢添㗎</t>
  </si>
  <si>
    <t>㗎喇可</t>
  </si>
  <si>
    <t>㗎噃</t>
  </si>
  <si>
    <t>啩</t>
  </si>
  <si>
    <t>吖嘛</t>
  </si>
  <si>
    <t>添</t>
  </si>
  <si>
    <t>添㗎</t>
  </si>
  <si>
    <t>先</t>
  </si>
  <si>
    <t>嚟</t>
  </si>
  <si>
    <t>吓哇</t>
  </si>
  <si>
    <t>lu</t>
  </si>
  <si>
    <t>This cannot be true</t>
  </si>
  <si>
    <t>Are these things even related?</t>
  </si>
  <si>
    <t>and also some orange peels</t>
  </si>
  <si>
    <t>He should also be here as well</t>
  </si>
  <si>
    <t>Take your seat</t>
  </si>
  <si>
    <t>fall down</t>
  </si>
  <si>
    <t>No way!</t>
  </si>
  <si>
    <t>Finished~</t>
  </si>
  <si>
    <t>Family, Friends, Not good, Strangers</t>
  </si>
  <si>
    <t>我驚會出事呀</t>
  </si>
  <si>
    <t>I fear there may be something bad happening</t>
  </si>
  <si>
    <t>留碗湯畀你返嚟飲吖</t>
  </si>
  <si>
    <t>A bowl of soup is preserved for you to drink</t>
  </si>
  <si>
    <t>吖</t>
  </si>
  <si>
    <t>佢扮唔識我喎</t>
  </si>
  <si>
    <t>Surprised, Expect</t>
  </si>
  <si>
    <t>Anger, Worry</t>
  </si>
  <si>
    <t>Surprised, Worry</t>
  </si>
  <si>
    <t>Neutral, Surprised, Joy</t>
  </si>
  <si>
    <t>Surprised, Anger, Worry</t>
  </si>
  <si>
    <t>Surprised, Anger, Expect, Worry</t>
  </si>
  <si>
    <t>Neutral, Anger, Expect, Worry</t>
  </si>
  <si>
    <t>Love, Expect</t>
  </si>
  <si>
    <t>Neutral, Surprised, Joy, Excited</t>
  </si>
  <si>
    <t>Sadness, Surprised, Anger</t>
  </si>
  <si>
    <t>Sadness, Fear, Anger, Worry</t>
  </si>
  <si>
    <t>Fear, Surprised, Anger, Worry</t>
  </si>
  <si>
    <t>Neutral, Surprised, Anger, Joy, Worry</t>
  </si>
  <si>
    <t>Fear, Surprised, Worry</t>
  </si>
  <si>
    <t>It's true!</t>
  </si>
  <si>
    <t>gaa4</t>
  </si>
  <si>
    <t>gaa3</t>
  </si>
  <si>
    <t>Fear, Surprised, Anger, Joy, Expect, Worry, Excited</t>
  </si>
  <si>
    <t>Sadness, Love, Anger, Joy, Excited</t>
  </si>
  <si>
    <t>Anger, Joy, Expect, Worry</t>
  </si>
  <si>
    <t>Sadness, Fear, Surprised, Anger, Expect, Worry</t>
  </si>
  <si>
    <t>Neutral, Surprised, Anger, Expect, Worry</t>
  </si>
  <si>
    <t>Neutral, Love</t>
  </si>
  <si>
    <t>會跌落嚟</t>
  </si>
  <si>
    <t>Fear, Neutral, Worry</t>
  </si>
  <si>
    <t>Joy, Excited</t>
  </si>
  <si>
    <t>Fear, Worry</t>
  </si>
  <si>
    <t>Irony, Mockery, Warning</t>
  </si>
  <si>
    <t>Respectful, Mockery</t>
  </si>
  <si>
    <t>Respectful, Playful, Warning</t>
  </si>
  <si>
    <t>Playful, Warning</t>
  </si>
  <si>
    <t>Irony, Playful, Mockery</t>
  </si>
  <si>
    <t>Mockery, Warning</t>
  </si>
  <si>
    <t>屌呀</t>
  </si>
  <si>
    <t>Wtf?</t>
  </si>
  <si>
    <t>Non-respectful, Warning</t>
  </si>
  <si>
    <t>Friends, Not good, Strangers</t>
  </si>
  <si>
    <t>Family, Friends, Professional</t>
  </si>
  <si>
    <t>Professional, Strangers</t>
  </si>
  <si>
    <t>返嚟嗱</t>
  </si>
  <si>
    <t>You are back</t>
  </si>
  <si>
    <t>Anger, Joy</t>
  </si>
  <si>
    <t>係咁㗎咋噃</t>
  </si>
  <si>
    <t>我靚唔靚啫</t>
  </si>
  <si>
    <t>Am I pretty?</t>
  </si>
  <si>
    <t>好呀</t>
  </si>
  <si>
    <t>太好喇</t>
  </si>
  <si>
    <t>Good!</t>
  </si>
  <si>
    <t>Great!</t>
  </si>
  <si>
    <t>畀晒你囉</t>
  </si>
  <si>
    <t>佢有咁好死咩</t>
  </si>
  <si>
    <t>容乜易呀</t>
  </si>
  <si>
    <t>想點啊又</t>
  </si>
  <si>
    <t>What do you want?</t>
  </si>
  <si>
    <t>Okok all for you</t>
  </si>
  <si>
    <t>He would do that?!</t>
  </si>
  <si>
    <t>This is too easy</t>
  </si>
  <si>
    <t>真係咧</t>
  </si>
  <si>
    <t>咧</t>
  </si>
  <si>
    <t>嗱</t>
  </si>
  <si>
    <t>㗎咋噃</t>
  </si>
  <si>
    <t>啊</t>
  </si>
  <si>
    <t>揾唔到咧</t>
  </si>
  <si>
    <t>really can't find it</t>
  </si>
  <si>
    <t>仲送花畀我添</t>
  </si>
  <si>
    <t>and he bought me flowers</t>
  </si>
  <si>
    <t>弊，煲燶飯添</t>
  </si>
  <si>
    <t>Damn, the rice is burnt</t>
  </si>
  <si>
    <t>一舊水咋</t>
  </si>
  <si>
    <t>It's just $100 dollars</t>
  </si>
  <si>
    <t>擔心死人啦</t>
  </si>
  <si>
    <t>You made me very worried</t>
  </si>
  <si>
    <t>你真係論盡既啫</t>
  </si>
  <si>
    <t>You're so clumsy</t>
  </si>
  <si>
    <t>傻豬嚟既</t>
  </si>
  <si>
    <t>Oh sweatheart</t>
  </si>
  <si>
    <t>咁解咁嘅</t>
  </si>
  <si>
    <t>Why is it like that?</t>
  </si>
  <si>
    <t>你打完機未啫</t>
  </si>
  <si>
    <t>Are you done playing video games?</t>
  </si>
  <si>
    <t>實係咁啦</t>
  </si>
  <si>
    <t>實係咁啫</t>
  </si>
  <si>
    <t>實係咁㗎喎</t>
  </si>
  <si>
    <t>會畀雷劈㗎</t>
  </si>
  <si>
    <t>You will be hit by a bolt!</t>
  </si>
  <si>
    <t>你無嘢呀</t>
  </si>
  <si>
    <t>Yea it must be like this</t>
  </si>
  <si>
    <t>This is the fact/ reality</t>
  </si>
  <si>
    <t>佢無事啦已經</t>
  </si>
  <si>
    <t>He is already fine now</t>
  </si>
  <si>
    <t>既啫</t>
  </si>
  <si>
    <t>㗎喎</t>
  </si>
  <si>
    <t>你都唔細㗎喇</t>
  </si>
  <si>
    <t>You are not young</t>
  </si>
  <si>
    <t>仲未嚟嘅</t>
  </si>
  <si>
    <t>Why is it not arrived yet?</t>
  </si>
  <si>
    <t>你知㗎啦</t>
  </si>
  <si>
    <t>As you have known</t>
  </si>
  <si>
    <t>落雨啦</t>
  </si>
  <si>
    <t>It's raining</t>
  </si>
  <si>
    <t>因為落雨囉</t>
  </si>
  <si>
    <t>because it was raining</t>
  </si>
  <si>
    <t>火燭呀</t>
  </si>
  <si>
    <t>Sth is on fire!</t>
  </si>
  <si>
    <t>救命呀</t>
  </si>
  <si>
    <t xml:space="preserve">Help! </t>
  </si>
  <si>
    <t>佢去le</t>
  </si>
  <si>
    <t>le</t>
  </si>
  <si>
    <t>He should be going</t>
  </si>
  <si>
    <t>點解嘅</t>
  </si>
  <si>
    <t>Why?</t>
  </si>
  <si>
    <t>Surprised, Love, Joy, Expect, Excited</t>
  </si>
  <si>
    <t>Surprised, Joy, Excited</t>
  </si>
  <si>
    <t>佢夠係咁咯</t>
  </si>
  <si>
    <t>佢夠係咁啦</t>
  </si>
  <si>
    <t>He is also like this</t>
  </si>
  <si>
    <t>Surprised, Love, Joy</t>
  </si>
  <si>
    <t>Surprised, Joy</t>
  </si>
  <si>
    <t>Love, Worry</t>
  </si>
  <si>
    <t>Surprised, Expect, Worry</t>
  </si>
  <si>
    <t>Surprised, Joy, Worry, Excited</t>
  </si>
  <si>
    <t>佢夠薑咩</t>
  </si>
  <si>
    <t>He dares?!</t>
  </si>
  <si>
    <t>Neutral, Surprised</t>
  </si>
  <si>
    <t>Surprised, Anger</t>
  </si>
  <si>
    <t>Respectful, Irony, Playful, Warning</t>
  </si>
  <si>
    <t>Respectful, Irony, Playful, Mockery</t>
  </si>
  <si>
    <t>Irony, Mockery</t>
  </si>
  <si>
    <t>做低佢啦</t>
  </si>
  <si>
    <t>Finish him</t>
  </si>
  <si>
    <t>Certain</t>
  </si>
  <si>
    <t>Playful, Certain</t>
  </si>
  <si>
    <t>Respectful, Certain</t>
  </si>
  <si>
    <t>Respectful, Playful, Certain</t>
  </si>
  <si>
    <t>Warning, Certain</t>
  </si>
  <si>
    <t>Mockery, Certain</t>
  </si>
  <si>
    <t>Playful, Mockery, Certain</t>
  </si>
  <si>
    <t>Family, Friends, Hierarchical</t>
  </si>
  <si>
    <t>叫你唔聽吖嗱</t>
  </si>
  <si>
    <t>話咗你㗎啦</t>
  </si>
  <si>
    <t>我哋真係有緣既啫</t>
  </si>
  <si>
    <t>I told you and you didn't listen</t>
  </si>
  <si>
    <t>I told you.</t>
  </si>
  <si>
    <t>Fate bring us together</t>
  </si>
  <si>
    <t>屌你呀</t>
  </si>
  <si>
    <t>Fuck you</t>
  </si>
  <si>
    <t>屌你啦</t>
  </si>
  <si>
    <t>Non-respectful, Playful, Warning</t>
  </si>
  <si>
    <t>Respectful, Irony</t>
  </si>
  <si>
    <t>咁先似樣𠺢嘛</t>
  </si>
  <si>
    <t>無理由咁𠿪</t>
  </si>
  <si>
    <t>This is how it should be</t>
  </si>
  <si>
    <t>No way it's like this</t>
  </si>
  <si>
    <t>你食咗藥嗱</t>
  </si>
  <si>
    <t>你食咗藥未呀</t>
  </si>
  <si>
    <t>估唔到哩</t>
  </si>
  <si>
    <t>唔掂哩</t>
  </si>
  <si>
    <t>This is no good</t>
  </si>
  <si>
    <t>You are crazy</t>
  </si>
  <si>
    <t>係啩</t>
  </si>
  <si>
    <t>You already took your meds?</t>
  </si>
  <si>
    <t>Maybe yes?</t>
  </si>
  <si>
    <t>Sadness, Fear, Worry</t>
  </si>
  <si>
    <t>Bet you can't guess this</t>
  </si>
  <si>
    <t>le5</t>
  </si>
  <si>
    <t>emphasize, reiterate</t>
  </si>
  <si>
    <t>返唔返嚟食飯呀</t>
  </si>
  <si>
    <t>Are you coming home for dinner?</t>
  </si>
  <si>
    <t>Irony, Warning</t>
  </si>
  <si>
    <t>做咩呀</t>
  </si>
  <si>
    <t>咩呀</t>
  </si>
  <si>
    <t>What.</t>
  </si>
  <si>
    <t>Not good, Strangers</t>
  </si>
  <si>
    <t>做咩</t>
  </si>
  <si>
    <t>What</t>
  </si>
  <si>
    <t>吓</t>
  </si>
  <si>
    <t>Fear, Neutral, Surprised, Anger</t>
  </si>
  <si>
    <t>Non-respectful, Irony, Playful</t>
  </si>
  <si>
    <t>真係㗎</t>
  </si>
  <si>
    <t>Really?!</t>
  </si>
  <si>
    <t>What?!</t>
  </si>
  <si>
    <t>咁可以點喎</t>
  </si>
  <si>
    <t>Then what can I do…</t>
  </si>
  <si>
    <t>Sadness, Fear, Expect, Worry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</si>
</sst>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/>
    <xf numFmtId="0" fontId="2" fillId="0" borderId="0" xfId="0" applyFont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FAC77-F4AF-8145-B2D1-D6DEAAC39417}">
  <sheetPr codeName="Sheet1"/>
  <dimension ref="A1:O148"/>
  <sheetViews>
    <sheetView tabSelected="1" topLeftCell="A74" zoomScale="130" zoomScaleNormal="130" workbookViewId="0">
      <selection activeCell="C94" sqref="C94"/>
    </sheetView>
  </sheetViews>
  <sheetFormatPr baseColWidth="10" defaultRowHeight="16" x14ac:dyDescent="0.2"/>
  <cols>
    <col min="1" max="1" width="15.6640625" customWidth="1"/>
    <col min="2" max="2" width="24.33203125" customWidth="1"/>
    <col min="3" max="3" width="9.6640625" customWidth="1"/>
    <col min="4" max="4" width="9.5" customWidth="1"/>
    <col min="5" max="5" width="13.1640625" customWidth="1"/>
    <col min="6" max="6" width="7.83203125" customWidth="1"/>
    <col min="7" max="7" width="12" customWidth="1"/>
    <col min="8" max="8" width="6.1640625" customWidth="1"/>
    <col min="9" max="9" width="4.5" customWidth="1"/>
    <col min="10" max="10" width="12.1640625" bestFit="1" customWidth="1"/>
    <col min="12" max="12" width="13.33203125" bestFit="1" customWidth="1"/>
  </cols>
  <sheetData>
    <row r="1" spans="1:15" x14ac:dyDescent="0.2">
      <c r="A1" t="s">
        <v>0</v>
      </c>
      <c r="B1" t="s">
        <v>1</v>
      </c>
      <c r="C1" t="s">
        <v>5</v>
      </c>
      <c r="D1" t="s">
        <v>42</v>
      </c>
      <c r="E1" t="s">
        <v>2</v>
      </c>
      <c r="F1" t="s">
        <v>67</v>
      </c>
      <c r="G1" t="s">
        <v>3</v>
      </c>
    </row>
    <row r="2" spans="1:15" x14ac:dyDescent="0.2">
      <c r="A2" t="s">
        <v>27</v>
      </c>
      <c r="B2" t="s">
        <v>28</v>
      </c>
      <c r="C2" t="s">
        <v>124</v>
      </c>
      <c r="D2" t="s">
        <v>20</v>
      </c>
      <c r="E2" t="s">
        <v>66</v>
      </c>
      <c r="F2" s="4" t="s">
        <v>266</v>
      </c>
    </row>
    <row r="3" spans="1:15" x14ac:dyDescent="0.2">
      <c r="A3" t="s">
        <v>29</v>
      </c>
      <c r="B3" t="s">
        <v>39</v>
      </c>
      <c r="C3" t="s">
        <v>10</v>
      </c>
      <c r="D3" t="s">
        <v>16</v>
      </c>
      <c r="E3" t="s">
        <v>123</v>
      </c>
      <c r="F3" t="s">
        <v>43</v>
      </c>
      <c r="J3" s="2" t="s">
        <v>6</v>
      </c>
    </row>
    <row r="4" spans="1:15" x14ac:dyDescent="0.2">
      <c r="A4" t="s">
        <v>30</v>
      </c>
      <c r="B4" t="s">
        <v>35</v>
      </c>
      <c r="C4" t="s">
        <v>12</v>
      </c>
      <c r="D4" t="s">
        <v>16</v>
      </c>
      <c r="E4" t="s">
        <v>122</v>
      </c>
      <c r="F4" t="s">
        <v>43</v>
      </c>
      <c r="J4" s="3" t="s">
        <v>7</v>
      </c>
      <c r="K4">
        <f>COUNTA(A2:A1004)</f>
        <v>147</v>
      </c>
    </row>
    <row r="5" spans="1:15" x14ac:dyDescent="0.2">
      <c r="A5" t="s">
        <v>30</v>
      </c>
      <c r="B5" t="s">
        <v>36</v>
      </c>
      <c r="C5" t="s">
        <v>13</v>
      </c>
      <c r="D5" t="s">
        <v>436</v>
      </c>
      <c r="E5" t="s">
        <v>120</v>
      </c>
      <c r="F5" t="s">
        <v>43</v>
      </c>
    </row>
    <row r="6" spans="1:15" x14ac:dyDescent="0.2">
      <c r="A6" t="s">
        <v>31</v>
      </c>
      <c r="B6" t="s">
        <v>37</v>
      </c>
      <c r="C6" t="s">
        <v>10</v>
      </c>
      <c r="D6" t="s">
        <v>16</v>
      </c>
      <c r="E6" t="s">
        <v>123</v>
      </c>
      <c r="F6" t="s">
        <v>43</v>
      </c>
      <c r="J6" s="1" t="s">
        <v>4</v>
      </c>
      <c r="L6" s="1" t="s">
        <v>17</v>
      </c>
      <c r="N6" s="1" t="s">
        <v>22</v>
      </c>
    </row>
    <row r="7" spans="1:15" x14ac:dyDescent="0.2">
      <c r="A7" t="s">
        <v>32</v>
      </c>
      <c r="B7" t="s">
        <v>38</v>
      </c>
      <c r="C7" t="s">
        <v>10</v>
      </c>
      <c r="D7" t="s">
        <v>16</v>
      </c>
      <c r="E7" t="s">
        <v>123</v>
      </c>
      <c r="F7" t="s">
        <v>43</v>
      </c>
      <c r="I7">
        <v>1</v>
      </c>
      <c r="J7" t="s">
        <v>8</v>
      </c>
      <c r="K7">
        <f>COUNTIF(C2:C1003, "*Sadness*")</f>
        <v>8</v>
      </c>
      <c r="L7" t="s">
        <v>16</v>
      </c>
      <c r="M7">
        <f>COUNTIF(D2:D1003, "*Respectful*")</f>
        <v>70</v>
      </c>
      <c r="N7" t="s">
        <v>23</v>
      </c>
      <c r="O7">
        <f>COUNTIF(E2:E1003, "*Family*")</f>
        <v>100</v>
      </c>
    </row>
    <row r="8" spans="1:15" x14ac:dyDescent="0.2">
      <c r="A8" t="s">
        <v>32</v>
      </c>
      <c r="B8" t="s">
        <v>40</v>
      </c>
      <c r="C8" t="s">
        <v>68</v>
      </c>
      <c r="D8" t="s">
        <v>20</v>
      </c>
      <c r="E8" t="s">
        <v>123</v>
      </c>
      <c r="F8" t="s">
        <v>43</v>
      </c>
      <c r="G8" t="s">
        <v>48</v>
      </c>
      <c r="I8">
        <v>2</v>
      </c>
      <c r="J8" t="s">
        <v>9</v>
      </c>
      <c r="K8">
        <f>COUNTIF(C2:C1003, "*Fear*")</f>
        <v>15</v>
      </c>
      <c r="L8" t="s">
        <v>18</v>
      </c>
      <c r="M8">
        <f>COUNTIF(D2:D1003, "*Non-respectful*")</f>
        <v>8</v>
      </c>
      <c r="N8" t="s">
        <v>24</v>
      </c>
      <c r="O8">
        <f>COUNTIF(E2:E1003, "*Friends*")</f>
        <v>120</v>
      </c>
    </row>
    <row r="9" spans="1:15" x14ac:dyDescent="0.2">
      <c r="A9" t="s">
        <v>32</v>
      </c>
      <c r="B9" t="s">
        <v>41</v>
      </c>
      <c r="C9" t="s">
        <v>13</v>
      </c>
      <c r="D9" t="s">
        <v>103</v>
      </c>
      <c r="E9" t="s">
        <v>49</v>
      </c>
      <c r="F9" t="s">
        <v>43</v>
      </c>
      <c r="I9">
        <v>3</v>
      </c>
      <c r="J9" t="s">
        <v>10</v>
      </c>
      <c r="K9">
        <f>COUNTIF(C2:C1003, "*Neutral*")</f>
        <v>56</v>
      </c>
      <c r="L9" t="s">
        <v>19</v>
      </c>
      <c r="M9">
        <f>COUNTIF(D2:D1003, "*Irony*")</f>
        <v>12</v>
      </c>
      <c r="N9" t="s">
        <v>25</v>
      </c>
      <c r="O9">
        <f>COUNTIF(E2:E1003, "*Hierarchical*")</f>
        <v>16</v>
      </c>
    </row>
    <row r="10" spans="1:15" x14ac:dyDescent="0.2">
      <c r="A10" t="s">
        <v>33</v>
      </c>
      <c r="B10" t="s">
        <v>45</v>
      </c>
      <c r="C10" t="s">
        <v>10</v>
      </c>
      <c r="D10" t="s">
        <v>399</v>
      </c>
      <c r="E10" t="s">
        <v>24</v>
      </c>
      <c r="F10" t="s">
        <v>43</v>
      </c>
      <c r="I10">
        <v>4</v>
      </c>
      <c r="J10" t="s">
        <v>11</v>
      </c>
      <c r="K10">
        <f>COUNTIF(C2:C1003, "*Surprised*")</f>
        <v>34</v>
      </c>
      <c r="L10" t="s">
        <v>20</v>
      </c>
      <c r="M10">
        <f>COUNTIF(D2:D1003, "*Playful*")</f>
        <v>51</v>
      </c>
      <c r="N10" t="s">
        <v>26</v>
      </c>
      <c r="O10">
        <f>COUNTIF(E2:E1003, "*Professional*")</f>
        <v>19</v>
      </c>
    </row>
    <row r="11" spans="1:15" x14ac:dyDescent="0.2">
      <c r="A11" t="s">
        <v>34</v>
      </c>
      <c r="B11" t="s">
        <v>44</v>
      </c>
      <c r="C11" t="s">
        <v>13</v>
      </c>
      <c r="D11" t="s">
        <v>103</v>
      </c>
      <c r="E11" t="s">
        <v>49</v>
      </c>
      <c r="F11" t="s">
        <v>43</v>
      </c>
      <c r="I11">
        <v>5</v>
      </c>
      <c r="J11" t="s">
        <v>12</v>
      </c>
      <c r="K11">
        <f>COUNTIF(C2:C1003, "*Love*")</f>
        <v>11</v>
      </c>
      <c r="L11" t="s">
        <v>21</v>
      </c>
      <c r="M11">
        <f>COUNTIF(D2:D1003, "*Mockery*")</f>
        <v>18</v>
      </c>
      <c r="N11" t="s">
        <v>49</v>
      </c>
      <c r="O11">
        <f>COUNTIF(E2:E1003, "*Not good*")</f>
        <v>21</v>
      </c>
    </row>
    <row r="12" spans="1:15" x14ac:dyDescent="0.2">
      <c r="A12" t="s">
        <v>54</v>
      </c>
      <c r="B12" t="s">
        <v>65</v>
      </c>
      <c r="C12" t="s">
        <v>68</v>
      </c>
      <c r="D12" t="s">
        <v>16</v>
      </c>
      <c r="E12" t="s">
        <v>125</v>
      </c>
      <c r="F12" t="s">
        <v>47</v>
      </c>
      <c r="I12">
        <v>6</v>
      </c>
      <c r="J12" t="s">
        <v>13</v>
      </c>
      <c r="K12">
        <f>COUNTIF(C2:C1003, "*Anger*")</f>
        <v>45</v>
      </c>
      <c r="L12" t="s">
        <v>103</v>
      </c>
      <c r="M12">
        <f>COUNTIF(D2:D1003, "*Warning*")</f>
        <v>33</v>
      </c>
      <c r="N12" t="s">
        <v>121</v>
      </c>
      <c r="O12">
        <f>COUNTIF(E2:E1003, "*Strangers*")</f>
        <v>33</v>
      </c>
    </row>
    <row r="13" spans="1:15" x14ac:dyDescent="0.2">
      <c r="A13" t="s">
        <v>54</v>
      </c>
      <c r="B13" t="s">
        <v>50</v>
      </c>
      <c r="C13" t="s">
        <v>13</v>
      </c>
      <c r="D13" t="s">
        <v>103</v>
      </c>
      <c r="E13" t="s">
        <v>49</v>
      </c>
      <c r="F13" t="s">
        <v>47</v>
      </c>
      <c r="I13">
        <v>7</v>
      </c>
      <c r="J13" t="s">
        <v>14</v>
      </c>
      <c r="K13">
        <f>COUNTIF(C2:C1003, "*Joy*")</f>
        <v>22</v>
      </c>
      <c r="L13" t="s">
        <v>398</v>
      </c>
      <c r="M13">
        <f>COUNTIF(D2:D1003, "*Certain*")</f>
        <v>30</v>
      </c>
    </row>
    <row r="14" spans="1:15" x14ac:dyDescent="0.2">
      <c r="A14" t="s">
        <v>46</v>
      </c>
      <c r="B14" t="s">
        <v>51</v>
      </c>
      <c r="C14" t="s">
        <v>15</v>
      </c>
      <c r="D14" t="s">
        <v>16</v>
      </c>
      <c r="E14" t="s">
        <v>66</v>
      </c>
      <c r="F14" t="s">
        <v>47</v>
      </c>
      <c r="I14">
        <v>8</v>
      </c>
      <c r="J14" t="s">
        <v>15</v>
      </c>
      <c r="K14">
        <f>COUNTIF(C2:C1003, "*Expect*")</f>
        <v>36</v>
      </c>
    </row>
    <row r="15" spans="1:15" x14ac:dyDescent="0.2">
      <c r="A15" t="s">
        <v>46</v>
      </c>
      <c r="B15" t="s">
        <v>52</v>
      </c>
      <c r="C15" t="s">
        <v>10</v>
      </c>
      <c r="D15" t="s">
        <v>398</v>
      </c>
      <c r="E15" t="s">
        <v>66</v>
      </c>
      <c r="F15" t="s">
        <v>47</v>
      </c>
      <c r="G15" t="s">
        <v>53</v>
      </c>
      <c r="I15">
        <v>9</v>
      </c>
      <c r="J15" t="s">
        <v>64</v>
      </c>
      <c r="K15">
        <f>COUNTIF(C2:C1003, "*Worry*")</f>
        <v>39</v>
      </c>
    </row>
    <row r="16" spans="1:15" x14ac:dyDescent="0.2">
      <c r="A16" t="s">
        <v>55</v>
      </c>
      <c r="B16" t="s">
        <v>70</v>
      </c>
      <c r="C16" t="s">
        <v>10</v>
      </c>
      <c r="D16" t="s">
        <v>400</v>
      </c>
      <c r="E16" t="s">
        <v>125</v>
      </c>
      <c r="F16" t="s">
        <v>79</v>
      </c>
      <c r="G16" t="s">
        <v>69</v>
      </c>
      <c r="I16">
        <v>10</v>
      </c>
      <c r="J16" t="s">
        <v>119</v>
      </c>
      <c r="K16">
        <f>COUNTIF(C2:C1003, "*Excited*")</f>
        <v>12</v>
      </c>
    </row>
    <row r="17" spans="1:11" x14ac:dyDescent="0.2">
      <c r="A17" t="s">
        <v>57</v>
      </c>
      <c r="B17" t="s">
        <v>71</v>
      </c>
      <c r="C17" t="s">
        <v>10</v>
      </c>
      <c r="D17" t="s">
        <v>16</v>
      </c>
      <c r="E17" t="s">
        <v>66</v>
      </c>
      <c r="F17" t="s">
        <v>79</v>
      </c>
    </row>
    <row r="18" spans="1:11" x14ac:dyDescent="0.2">
      <c r="A18" t="s">
        <v>56</v>
      </c>
      <c r="B18" t="s">
        <v>72</v>
      </c>
      <c r="C18" t="s">
        <v>15</v>
      </c>
      <c r="D18" t="s">
        <v>100</v>
      </c>
      <c r="E18" t="s">
        <v>24</v>
      </c>
      <c r="F18" t="s">
        <v>79</v>
      </c>
      <c r="J18" t="s">
        <v>67</v>
      </c>
    </row>
    <row r="19" spans="1:11" x14ac:dyDescent="0.2">
      <c r="A19" t="s">
        <v>58</v>
      </c>
      <c r="B19" t="s">
        <v>87</v>
      </c>
      <c r="C19" t="s">
        <v>10</v>
      </c>
      <c r="D19" t="s">
        <v>100</v>
      </c>
      <c r="E19" t="s">
        <v>126</v>
      </c>
      <c r="F19" t="s">
        <v>80</v>
      </c>
      <c r="J19" s="5" t="str" cm="1">
        <f t="array" ref="J19:J66">_xlfn.UNIQUE(_xlfn._xlws.FILTER(F2:F1002, F2:F1002&lt;&gt;""))</f>
        <v>吖</v>
      </c>
      <c r="K19" cm="1">
        <f t="array" ref="K19:K66">COUNTIF(F2:F1002,_xlfn.ANCHORARRAY( J19))</f>
        <v>2</v>
      </c>
    </row>
    <row r="20" spans="1:11" x14ac:dyDescent="0.2">
      <c r="A20" t="s">
        <v>59</v>
      </c>
      <c r="B20" t="s">
        <v>88</v>
      </c>
      <c r="C20" t="s">
        <v>10</v>
      </c>
      <c r="D20" t="s">
        <v>16</v>
      </c>
      <c r="E20" t="s">
        <v>24</v>
      </c>
      <c r="F20" t="s">
        <v>81</v>
      </c>
      <c r="J20" t="str">
        <v>呀</v>
      </c>
      <c r="K20">
        <v>21</v>
      </c>
    </row>
    <row r="21" spans="1:11" x14ac:dyDescent="0.2">
      <c r="A21" t="s">
        <v>59</v>
      </c>
      <c r="B21" t="s">
        <v>89</v>
      </c>
      <c r="C21" t="s">
        <v>64</v>
      </c>
      <c r="D21" t="s">
        <v>103</v>
      </c>
      <c r="E21" t="s">
        <v>23</v>
      </c>
      <c r="F21" t="s">
        <v>81</v>
      </c>
      <c r="J21" t="str">
        <v>呀嘛</v>
      </c>
      <c r="K21">
        <v>5</v>
      </c>
    </row>
    <row r="22" spans="1:11" x14ac:dyDescent="0.2">
      <c r="A22" t="s">
        <v>60</v>
      </c>
      <c r="B22" t="s">
        <v>90</v>
      </c>
      <c r="C22" t="s">
        <v>10</v>
      </c>
      <c r="D22" t="s">
        <v>21</v>
      </c>
      <c r="E22" t="s">
        <v>66</v>
      </c>
      <c r="F22" t="s">
        <v>82</v>
      </c>
      <c r="J22" t="str">
        <v>啦</v>
      </c>
      <c r="K22">
        <v>9</v>
      </c>
    </row>
    <row r="23" spans="1:11" x14ac:dyDescent="0.2">
      <c r="A23" t="s">
        <v>61</v>
      </c>
      <c r="B23" t="s">
        <v>91</v>
      </c>
      <c r="C23" t="s">
        <v>10</v>
      </c>
      <c r="D23" t="s">
        <v>16</v>
      </c>
      <c r="E23" t="s">
        <v>66</v>
      </c>
      <c r="F23" t="s">
        <v>80</v>
      </c>
      <c r="J23" t="str">
        <v>喇</v>
      </c>
      <c r="K23">
        <v>3</v>
      </c>
    </row>
    <row r="24" spans="1:11" x14ac:dyDescent="0.2">
      <c r="A24" t="s">
        <v>85</v>
      </c>
      <c r="B24" t="s">
        <v>92</v>
      </c>
      <c r="C24" t="s">
        <v>14</v>
      </c>
      <c r="D24" t="s">
        <v>20</v>
      </c>
      <c r="E24" t="s">
        <v>24</v>
      </c>
      <c r="F24" t="s">
        <v>83</v>
      </c>
      <c r="J24" t="str">
        <v>喇喂</v>
      </c>
      <c r="K24">
        <v>2</v>
      </c>
    </row>
    <row r="25" spans="1:11" x14ac:dyDescent="0.2">
      <c r="A25" t="s">
        <v>62</v>
      </c>
      <c r="B25" t="s">
        <v>93</v>
      </c>
      <c r="C25" t="s">
        <v>102</v>
      </c>
      <c r="D25" t="s">
        <v>401</v>
      </c>
      <c r="E25" t="s">
        <v>66</v>
      </c>
      <c r="F25" t="s">
        <v>83</v>
      </c>
      <c r="J25" t="str">
        <v>㗎喇</v>
      </c>
      <c r="K25">
        <v>2</v>
      </c>
    </row>
    <row r="26" spans="1:11" x14ac:dyDescent="0.2">
      <c r="A26" t="s">
        <v>63</v>
      </c>
      <c r="B26" t="s">
        <v>94</v>
      </c>
      <c r="C26" t="s">
        <v>13</v>
      </c>
      <c r="D26" t="s">
        <v>103</v>
      </c>
      <c r="E26" t="s">
        <v>49</v>
      </c>
      <c r="F26" t="s">
        <v>84</v>
      </c>
      <c r="J26" t="str">
        <v>嘞</v>
      </c>
      <c r="K26">
        <v>2</v>
      </c>
    </row>
    <row r="27" spans="1:11" x14ac:dyDescent="0.2">
      <c r="A27" t="s">
        <v>73</v>
      </c>
      <c r="B27" s="4" t="s">
        <v>129</v>
      </c>
      <c r="C27" t="s">
        <v>13</v>
      </c>
      <c r="D27" t="s">
        <v>18</v>
      </c>
      <c r="E27" t="s">
        <v>120</v>
      </c>
      <c r="F27" t="s">
        <v>77</v>
      </c>
      <c r="G27" t="s">
        <v>86</v>
      </c>
      <c r="J27" t="str">
        <v>吖嗱</v>
      </c>
      <c r="K27">
        <v>2</v>
      </c>
    </row>
    <row r="28" spans="1:11" x14ac:dyDescent="0.2">
      <c r="A28" t="s">
        <v>74</v>
      </c>
      <c r="B28" t="s">
        <v>95</v>
      </c>
      <c r="C28" t="s">
        <v>10</v>
      </c>
      <c r="D28" t="s">
        <v>16</v>
      </c>
      <c r="E28" t="s">
        <v>66</v>
      </c>
      <c r="F28" t="s">
        <v>77</v>
      </c>
      <c r="G28" t="s">
        <v>97</v>
      </c>
      <c r="J28" t="str">
        <v>囉</v>
      </c>
      <c r="K28">
        <v>7</v>
      </c>
    </row>
    <row r="29" spans="1:11" x14ac:dyDescent="0.2">
      <c r="A29" t="s">
        <v>74</v>
      </c>
      <c r="B29" t="s">
        <v>96</v>
      </c>
      <c r="C29" t="s">
        <v>15</v>
      </c>
      <c r="D29" t="s">
        <v>401</v>
      </c>
      <c r="E29" t="s">
        <v>66</v>
      </c>
      <c r="F29" t="s">
        <v>77</v>
      </c>
      <c r="G29" t="s">
        <v>98</v>
      </c>
      <c r="J29" t="str">
        <v>咯</v>
      </c>
      <c r="K29">
        <v>3</v>
      </c>
    </row>
    <row r="30" spans="1:11" x14ac:dyDescent="0.2">
      <c r="A30" t="s">
        <v>75</v>
      </c>
      <c r="B30" t="s">
        <v>104</v>
      </c>
      <c r="C30" t="s">
        <v>8</v>
      </c>
      <c r="D30" t="s">
        <v>16</v>
      </c>
      <c r="E30" t="s">
        <v>128</v>
      </c>
      <c r="F30" t="s">
        <v>78</v>
      </c>
      <c r="G30" t="s">
        <v>101</v>
      </c>
      <c r="J30" t="str">
        <v>嚛</v>
      </c>
      <c r="K30">
        <v>2</v>
      </c>
    </row>
    <row r="31" spans="1:11" x14ac:dyDescent="0.2">
      <c r="A31" t="s">
        <v>76</v>
      </c>
      <c r="B31" t="s">
        <v>99</v>
      </c>
      <c r="C31" t="s">
        <v>127</v>
      </c>
      <c r="D31" t="s">
        <v>20</v>
      </c>
      <c r="E31" t="s">
        <v>122</v>
      </c>
      <c r="F31" t="s">
        <v>78</v>
      </c>
      <c r="J31" t="str">
        <v>呢</v>
      </c>
      <c r="K31">
        <v>5</v>
      </c>
    </row>
    <row r="32" spans="1:11" x14ac:dyDescent="0.2">
      <c r="A32" t="s">
        <v>105</v>
      </c>
      <c r="B32" t="s">
        <v>107</v>
      </c>
      <c r="C32" t="s">
        <v>13</v>
      </c>
      <c r="D32" t="s">
        <v>398</v>
      </c>
      <c r="E32" t="s">
        <v>66</v>
      </c>
      <c r="F32" t="s">
        <v>109</v>
      </c>
      <c r="J32" t="str">
        <v>㗎</v>
      </c>
      <c r="K32">
        <v>6</v>
      </c>
    </row>
    <row r="33" spans="1:11" x14ac:dyDescent="0.2">
      <c r="A33" t="s">
        <v>106</v>
      </c>
      <c r="B33" t="s">
        <v>108</v>
      </c>
      <c r="C33" t="s">
        <v>13</v>
      </c>
      <c r="D33" t="s">
        <v>402</v>
      </c>
      <c r="E33" t="s">
        <v>123</v>
      </c>
      <c r="F33" t="s">
        <v>109</v>
      </c>
      <c r="J33" t="str">
        <v>哩</v>
      </c>
      <c r="K33">
        <v>3</v>
      </c>
    </row>
    <row r="34" spans="1:11" x14ac:dyDescent="0.2">
      <c r="A34" t="s">
        <v>110</v>
      </c>
      <c r="B34" t="s">
        <v>111</v>
      </c>
      <c r="C34" t="s">
        <v>15</v>
      </c>
      <c r="D34" t="s">
        <v>20</v>
      </c>
      <c r="E34" t="s">
        <v>66</v>
      </c>
      <c r="F34" t="s">
        <v>77</v>
      </c>
      <c r="J34" t="str">
        <v>㗎啦</v>
      </c>
      <c r="K34">
        <v>3</v>
      </c>
    </row>
    <row r="35" spans="1:11" x14ac:dyDescent="0.2">
      <c r="A35" t="s">
        <v>112</v>
      </c>
      <c r="B35" t="s">
        <v>114</v>
      </c>
      <c r="C35" t="s">
        <v>64</v>
      </c>
      <c r="D35" t="s">
        <v>16</v>
      </c>
      <c r="E35" t="s">
        <v>66</v>
      </c>
      <c r="F35" t="s">
        <v>115</v>
      </c>
      <c r="J35" t="str">
        <v>嗰喎</v>
      </c>
      <c r="K35">
        <v>1</v>
      </c>
    </row>
    <row r="36" spans="1:11" x14ac:dyDescent="0.2">
      <c r="A36" t="s">
        <v>113</v>
      </c>
      <c r="B36" t="s">
        <v>116</v>
      </c>
      <c r="C36" t="s">
        <v>102</v>
      </c>
      <c r="D36" t="s">
        <v>20</v>
      </c>
      <c r="E36" t="s">
        <v>66</v>
      </c>
      <c r="F36" t="s">
        <v>115</v>
      </c>
      <c r="J36" t="str">
        <v>啫</v>
      </c>
      <c r="K36">
        <v>9</v>
      </c>
    </row>
    <row r="37" spans="1:11" x14ac:dyDescent="0.2">
      <c r="A37" t="s">
        <v>117</v>
      </c>
      <c r="B37" t="s">
        <v>118</v>
      </c>
      <c r="C37" t="s">
        <v>10</v>
      </c>
      <c r="D37" t="s">
        <v>16</v>
      </c>
      <c r="E37" t="s">
        <v>122</v>
      </c>
      <c r="F37" t="s">
        <v>115</v>
      </c>
      <c r="J37" t="str">
        <v>吒嘛</v>
      </c>
      <c r="K37">
        <v>1</v>
      </c>
    </row>
    <row r="38" spans="1:11" x14ac:dyDescent="0.2">
      <c r="A38" t="s">
        <v>151</v>
      </c>
      <c r="B38" t="s">
        <v>146</v>
      </c>
      <c r="C38" t="s">
        <v>147</v>
      </c>
      <c r="D38" t="s">
        <v>148</v>
      </c>
      <c r="E38" t="s">
        <v>149</v>
      </c>
      <c r="F38" t="s">
        <v>115</v>
      </c>
      <c r="J38" t="str">
        <v>喎</v>
      </c>
      <c r="K38">
        <v>7</v>
      </c>
    </row>
    <row r="39" spans="1:11" x14ac:dyDescent="0.2">
      <c r="A39" t="s">
        <v>130</v>
      </c>
      <c r="B39" t="s">
        <v>134</v>
      </c>
      <c r="C39" t="s">
        <v>10</v>
      </c>
      <c r="D39" t="s">
        <v>16</v>
      </c>
      <c r="E39" t="s">
        <v>137</v>
      </c>
      <c r="F39" t="s">
        <v>43</v>
      </c>
      <c r="J39" t="str">
        <v>咋</v>
      </c>
      <c r="K39">
        <v>3</v>
      </c>
    </row>
    <row r="40" spans="1:11" x14ac:dyDescent="0.2">
      <c r="A40" t="s">
        <v>131</v>
      </c>
      <c r="B40" t="s">
        <v>133</v>
      </c>
      <c r="C40" t="s">
        <v>135</v>
      </c>
      <c r="D40" t="s">
        <v>20</v>
      </c>
      <c r="E40" t="s">
        <v>66</v>
      </c>
      <c r="F40" t="s">
        <v>136</v>
      </c>
      <c r="J40" t="str">
        <v>㗎咋</v>
      </c>
      <c r="K40">
        <v>2</v>
      </c>
    </row>
    <row r="41" spans="1:11" x14ac:dyDescent="0.2">
      <c r="A41" t="s">
        <v>131</v>
      </c>
      <c r="B41" t="s">
        <v>132</v>
      </c>
      <c r="C41" t="s">
        <v>10</v>
      </c>
      <c r="D41" t="s">
        <v>398</v>
      </c>
      <c r="E41" t="s">
        <v>66</v>
      </c>
      <c r="F41" t="s">
        <v>136</v>
      </c>
      <c r="J41" t="str">
        <v>嘅</v>
      </c>
      <c r="K41">
        <v>4</v>
      </c>
    </row>
    <row r="42" spans="1:11" x14ac:dyDescent="0.2">
      <c r="A42" t="s">
        <v>138</v>
      </c>
      <c r="B42" t="s">
        <v>139</v>
      </c>
      <c r="C42" t="s">
        <v>15</v>
      </c>
      <c r="D42" t="s">
        <v>20</v>
      </c>
      <c r="E42" t="s">
        <v>66</v>
      </c>
      <c r="F42" t="s">
        <v>115</v>
      </c>
      <c r="J42" t="str">
        <v>既</v>
      </c>
      <c r="K42">
        <v>5</v>
      </c>
    </row>
    <row r="43" spans="1:11" x14ac:dyDescent="0.2">
      <c r="A43" s="6" t="s">
        <v>140</v>
      </c>
      <c r="B43" t="s">
        <v>141</v>
      </c>
      <c r="C43" t="s">
        <v>142</v>
      </c>
      <c r="D43" t="s">
        <v>20</v>
      </c>
      <c r="E43" t="s">
        <v>66</v>
      </c>
      <c r="F43" t="s">
        <v>143</v>
      </c>
      <c r="G43" t="s">
        <v>433</v>
      </c>
      <c r="J43" t="str">
        <v>既咩</v>
      </c>
      <c r="K43">
        <v>2</v>
      </c>
    </row>
    <row r="44" spans="1:11" x14ac:dyDescent="0.2">
      <c r="A44" t="s">
        <v>145</v>
      </c>
      <c r="B44" t="s">
        <v>144</v>
      </c>
      <c r="C44" t="s">
        <v>8</v>
      </c>
      <c r="D44" t="s">
        <v>16</v>
      </c>
      <c r="E44" t="s">
        <v>123</v>
      </c>
      <c r="F44" t="s">
        <v>77</v>
      </c>
      <c r="J44" t="str">
        <v>咩</v>
      </c>
      <c r="K44">
        <v>5</v>
      </c>
    </row>
    <row r="45" spans="1:11" x14ac:dyDescent="0.2">
      <c r="A45" t="s">
        <v>150</v>
      </c>
      <c r="B45" t="s">
        <v>153</v>
      </c>
      <c r="C45" t="s">
        <v>10</v>
      </c>
      <c r="D45" t="s">
        <v>398</v>
      </c>
      <c r="E45" t="s">
        <v>66</v>
      </c>
      <c r="F45" t="s">
        <v>154</v>
      </c>
      <c r="J45" t="str">
        <v>𠺢嘛</v>
      </c>
      <c r="K45">
        <v>2</v>
      </c>
    </row>
    <row r="46" spans="1:11" x14ac:dyDescent="0.2">
      <c r="A46" t="s">
        <v>152</v>
      </c>
      <c r="B46" t="s">
        <v>156</v>
      </c>
      <c r="C46" t="s">
        <v>10</v>
      </c>
      <c r="D46" t="s">
        <v>398</v>
      </c>
      <c r="E46" t="s">
        <v>66</v>
      </c>
      <c r="F46" t="s">
        <v>155</v>
      </c>
      <c r="J46" t="str">
        <v>𠿪</v>
      </c>
      <c r="K46">
        <v>2</v>
      </c>
    </row>
    <row r="47" spans="1:11" x14ac:dyDescent="0.2">
      <c r="A47" t="s">
        <v>157</v>
      </c>
      <c r="B47" t="s">
        <v>164</v>
      </c>
      <c r="C47" t="s">
        <v>102</v>
      </c>
      <c r="D47" t="s">
        <v>20</v>
      </c>
      <c r="E47" t="s">
        <v>66</v>
      </c>
      <c r="F47" t="s">
        <v>172</v>
      </c>
      <c r="J47" t="str">
        <v>噃</v>
      </c>
      <c r="K47">
        <v>2</v>
      </c>
    </row>
    <row r="48" spans="1:11" x14ac:dyDescent="0.2">
      <c r="A48" t="s">
        <v>158</v>
      </c>
      <c r="B48" t="s">
        <v>165</v>
      </c>
      <c r="C48" t="s">
        <v>175</v>
      </c>
      <c r="D48" t="s">
        <v>20</v>
      </c>
      <c r="E48" t="s">
        <v>123</v>
      </c>
      <c r="F48" t="s">
        <v>172</v>
      </c>
      <c r="J48" t="str">
        <v>㗎喇可</v>
      </c>
      <c r="K48">
        <v>1</v>
      </c>
    </row>
    <row r="49" spans="1:11" x14ac:dyDescent="0.2">
      <c r="A49" t="s">
        <v>159</v>
      </c>
      <c r="B49" t="s">
        <v>166</v>
      </c>
      <c r="C49" t="s">
        <v>14</v>
      </c>
      <c r="D49" t="s">
        <v>100</v>
      </c>
      <c r="E49" t="s">
        <v>66</v>
      </c>
      <c r="F49" t="s">
        <v>172</v>
      </c>
      <c r="J49" t="str">
        <v>㗎噃</v>
      </c>
      <c r="K49">
        <v>1</v>
      </c>
    </row>
    <row r="50" spans="1:11" x14ac:dyDescent="0.2">
      <c r="A50" t="s">
        <v>159</v>
      </c>
      <c r="B50" t="s">
        <v>168</v>
      </c>
      <c r="C50" t="s">
        <v>10</v>
      </c>
      <c r="D50" t="s">
        <v>295</v>
      </c>
      <c r="E50" t="s">
        <v>49</v>
      </c>
      <c r="F50" t="s">
        <v>172</v>
      </c>
      <c r="J50" t="str">
        <v>啩</v>
      </c>
      <c r="K50">
        <v>2</v>
      </c>
    </row>
    <row r="51" spans="1:11" x14ac:dyDescent="0.2">
      <c r="A51" t="s">
        <v>160</v>
      </c>
      <c r="B51" t="s">
        <v>169</v>
      </c>
      <c r="C51" t="s">
        <v>12</v>
      </c>
      <c r="D51" t="s">
        <v>148</v>
      </c>
      <c r="E51" t="s">
        <v>261</v>
      </c>
      <c r="F51" t="s">
        <v>172</v>
      </c>
      <c r="J51" t="str">
        <v>吖嘛</v>
      </c>
      <c r="K51">
        <v>1</v>
      </c>
    </row>
    <row r="52" spans="1:11" x14ac:dyDescent="0.2">
      <c r="A52" t="s">
        <v>161</v>
      </c>
      <c r="B52" t="s">
        <v>170</v>
      </c>
      <c r="C52" t="s">
        <v>176</v>
      </c>
      <c r="D52" t="s">
        <v>20</v>
      </c>
      <c r="E52" t="s">
        <v>66</v>
      </c>
      <c r="F52" t="s">
        <v>172</v>
      </c>
      <c r="J52" t="str">
        <v>添</v>
      </c>
      <c r="K52">
        <v>3</v>
      </c>
    </row>
    <row r="53" spans="1:11" x14ac:dyDescent="0.2">
      <c r="A53" t="s">
        <v>162</v>
      </c>
      <c r="B53" t="s">
        <v>167</v>
      </c>
      <c r="C53" t="s">
        <v>207</v>
      </c>
      <c r="D53" t="s">
        <v>403</v>
      </c>
      <c r="E53" t="s">
        <v>66</v>
      </c>
      <c r="F53" t="s">
        <v>173</v>
      </c>
      <c r="J53" t="str">
        <v>添㗎</v>
      </c>
      <c r="K53">
        <v>1</v>
      </c>
    </row>
    <row r="54" spans="1:11" x14ac:dyDescent="0.2">
      <c r="A54" t="s">
        <v>163</v>
      </c>
      <c r="B54" t="s">
        <v>171</v>
      </c>
      <c r="C54" t="s">
        <v>142</v>
      </c>
      <c r="D54" t="s">
        <v>178</v>
      </c>
      <c r="E54" t="s">
        <v>66</v>
      </c>
      <c r="F54" t="s">
        <v>174</v>
      </c>
      <c r="J54" t="str">
        <v>先</v>
      </c>
      <c r="K54">
        <v>1</v>
      </c>
    </row>
    <row r="55" spans="1:11" x14ac:dyDescent="0.2">
      <c r="A55" t="s">
        <v>179</v>
      </c>
      <c r="B55" t="s">
        <v>182</v>
      </c>
      <c r="C55" t="s">
        <v>268</v>
      </c>
      <c r="D55" t="s">
        <v>21</v>
      </c>
      <c r="E55" t="s">
        <v>66</v>
      </c>
      <c r="F55" t="s">
        <v>233</v>
      </c>
      <c r="G55" t="s">
        <v>198</v>
      </c>
      <c r="J55" t="str">
        <v>嚟</v>
      </c>
      <c r="K55">
        <v>1</v>
      </c>
    </row>
    <row r="56" spans="1:11" x14ac:dyDescent="0.2">
      <c r="A56" t="s">
        <v>179</v>
      </c>
      <c r="B56" t="s">
        <v>177</v>
      </c>
      <c r="C56" t="s">
        <v>10</v>
      </c>
      <c r="D56" t="s">
        <v>399</v>
      </c>
      <c r="E56" t="s">
        <v>66</v>
      </c>
      <c r="F56" t="s">
        <v>233</v>
      </c>
      <c r="G56" t="s">
        <v>181</v>
      </c>
      <c r="J56" t="str">
        <v>吓哇</v>
      </c>
      <c r="K56">
        <v>1</v>
      </c>
    </row>
    <row r="57" spans="1:11" x14ac:dyDescent="0.2">
      <c r="A57" t="s">
        <v>180</v>
      </c>
      <c r="B57" t="s">
        <v>199</v>
      </c>
      <c r="C57" t="s">
        <v>268</v>
      </c>
      <c r="D57" t="s">
        <v>21</v>
      </c>
      <c r="E57" t="s">
        <v>66</v>
      </c>
      <c r="F57" t="s">
        <v>234</v>
      </c>
      <c r="G57" t="s">
        <v>198</v>
      </c>
      <c r="J57" t="str">
        <v>lu</v>
      </c>
      <c r="K57">
        <v>1</v>
      </c>
    </row>
    <row r="58" spans="1:11" x14ac:dyDescent="0.2">
      <c r="A58" t="s">
        <v>180</v>
      </c>
      <c r="B58" t="s">
        <v>183</v>
      </c>
      <c r="C58" t="s">
        <v>10</v>
      </c>
      <c r="D58" t="s">
        <v>399</v>
      </c>
      <c r="E58" t="s">
        <v>66</v>
      </c>
      <c r="F58" t="s">
        <v>234</v>
      </c>
      <c r="G58" t="s">
        <v>181</v>
      </c>
      <c r="J58" t="str">
        <v>嗱</v>
      </c>
      <c r="K58">
        <v>2</v>
      </c>
    </row>
    <row r="59" spans="1:11" x14ac:dyDescent="0.2">
      <c r="A59" t="s">
        <v>184</v>
      </c>
      <c r="B59" t="s">
        <v>192</v>
      </c>
      <c r="C59" t="s">
        <v>10</v>
      </c>
      <c r="D59" t="s">
        <v>16</v>
      </c>
      <c r="E59" t="s">
        <v>26</v>
      </c>
      <c r="F59" t="s">
        <v>235</v>
      </c>
      <c r="G59" t="s">
        <v>86</v>
      </c>
      <c r="J59" t="str">
        <v>㗎咋噃</v>
      </c>
      <c r="K59">
        <v>1</v>
      </c>
    </row>
    <row r="60" spans="1:11" x14ac:dyDescent="0.2">
      <c r="A60" t="s">
        <v>185</v>
      </c>
      <c r="B60" t="s">
        <v>193</v>
      </c>
      <c r="C60" t="s">
        <v>10</v>
      </c>
      <c r="D60" t="s">
        <v>16</v>
      </c>
      <c r="E60" t="s">
        <v>122</v>
      </c>
      <c r="F60" t="s">
        <v>236</v>
      </c>
      <c r="J60" t="str">
        <v>啊</v>
      </c>
      <c r="K60">
        <v>1</v>
      </c>
    </row>
    <row r="61" spans="1:11" x14ac:dyDescent="0.2">
      <c r="A61" t="s">
        <v>190</v>
      </c>
      <c r="B61" t="s">
        <v>191</v>
      </c>
      <c r="C61" t="s">
        <v>269</v>
      </c>
      <c r="D61" t="s">
        <v>18</v>
      </c>
      <c r="E61" t="s">
        <v>120</v>
      </c>
      <c r="F61" t="s">
        <v>236</v>
      </c>
      <c r="J61" t="str">
        <v>咧</v>
      </c>
      <c r="K61">
        <v>2</v>
      </c>
    </row>
    <row r="62" spans="1:11" x14ac:dyDescent="0.2">
      <c r="A62" t="s">
        <v>186</v>
      </c>
      <c r="B62" t="s">
        <v>194</v>
      </c>
      <c r="C62" t="s">
        <v>271</v>
      </c>
      <c r="D62" t="s">
        <v>400</v>
      </c>
      <c r="E62" t="s">
        <v>137</v>
      </c>
      <c r="F62" t="s">
        <v>236</v>
      </c>
      <c r="G62" t="s">
        <v>198</v>
      </c>
      <c r="J62" t="str">
        <v>既啫</v>
      </c>
      <c r="K62">
        <v>2</v>
      </c>
    </row>
    <row r="63" spans="1:11" x14ac:dyDescent="0.2">
      <c r="A63" t="s">
        <v>186</v>
      </c>
      <c r="B63" t="s">
        <v>195</v>
      </c>
      <c r="C63" t="s">
        <v>270</v>
      </c>
      <c r="D63" t="s">
        <v>16</v>
      </c>
      <c r="E63" t="s">
        <v>305</v>
      </c>
      <c r="F63" t="s">
        <v>236</v>
      </c>
      <c r="G63" t="s">
        <v>197</v>
      </c>
      <c r="J63" t="str">
        <v>㗎喎</v>
      </c>
      <c r="K63">
        <v>1</v>
      </c>
    </row>
    <row r="64" spans="1:11" x14ac:dyDescent="0.2">
      <c r="A64" t="s">
        <v>187</v>
      </c>
      <c r="B64" t="s">
        <v>196</v>
      </c>
      <c r="C64" t="s">
        <v>11</v>
      </c>
      <c r="D64" t="s">
        <v>20</v>
      </c>
      <c r="E64" t="s">
        <v>123</v>
      </c>
      <c r="F64" t="s">
        <v>237</v>
      </c>
      <c r="G64" t="s">
        <v>198</v>
      </c>
      <c r="J64" t="str">
        <v>le</v>
      </c>
      <c r="K64">
        <v>1</v>
      </c>
    </row>
    <row r="65" spans="1:11" x14ac:dyDescent="0.2">
      <c r="A65" t="s">
        <v>188</v>
      </c>
      <c r="B65" t="s">
        <v>182</v>
      </c>
      <c r="C65" t="s">
        <v>272</v>
      </c>
      <c r="D65" t="s">
        <v>20</v>
      </c>
      <c r="E65" t="s">
        <v>66</v>
      </c>
      <c r="F65" t="s">
        <v>237</v>
      </c>
      <c r="J65" t="str">
        <v>咩呀</v>
      </c>
      <c r="K65">
        <v>1</v>
      </c>
    </row>
    <row r="66" spans="1:11" x14ac:dyDescent="0.2">
      <c r="A66" t="s">
        <v>189</v>
      </c>
      <c r="B66" t="s">
        <v>200</v>
      </c>
      <c r="C66" t="s">
        <v>273</v>
      </c>
      <c r="D66" t="s">
        <v>20</v>
      </c>
      <c r="E66" t="s">
        <v>66</v>
      </c>
      <c r="F66" t="s">
        <v>238</v>
      </c>
      <c r="J66" t="str">
        <v>吓</v>
      </c>
      <c r="K66">
        <v>1</v>
      </c>
    </row>
    <row r="67" spans="1:11" x14ac:dyDescent="0.2">
      <c r="A67" t="s">
        <v>201</v>
      </c>
      <c r="B67" t="s">
        <v>210</v>
      </c>
      <c r="C67" t="s">
        <v>274</v>
      </c>
      <c r="D67" t="s">
        <v>148</v>
      </c>
      <c r="E67" t="s">
        <v>126</v>
      </c>
      <c r="F67" t="s">
        <v>239</v>
      </c>
    </row>
    <row r="68" spans="1:11" x14ac:dyDescent="0.2">
      <c r="A68" t="s">
        <v>202</v>
      </c>
      <c r="B68" t="s">
        <v>211</v>
      </c>
      <c r="C68" t="s">
        <v>142</v>
      </c>
      <c r="D68" t="s">
        <v>16</v>
      </c>
      <c r="E68" t="s">
        <v>66</v>
      </c>
      <c r="F68" t="s">
        <v>240</v>
      </c>
    </row>
    <row r="69" spans="1:11" x14ac:dyDescent="0.2">
      <c r="A69" t="s">
        <v>203</v>
      </c>
      <c r="B69" t="s">
        <v>206</v>
      </c>
      <c r="C69" t="s">
        <v>275</v>
      </c>
      <c r="D69" t="s">
        <v>297</v>
      </c>
      <c r="E69" t="s">
        <v>24</v>
      </c>
      <c r="F69" t="s">
        <v>241</v>
      </c>
      <c r="G69" t="s">
        <v>204</v>
      </c>
    </row>
    <row r="70" spans="1:11" x14ac:dyDescent="0.2">
      <c r="A70" t="s">
        <v>205</v>
      </c>
      <c r="B70" t="s">
        <v>206</v>
      </c>
      <c r="C70" t="s">
        <v>15</v>
      </c>
      <c r="D70" t="s">
        <v>148</v>
      </c>
      <c r="E70" t="s">
        <v>24</v>
      </c>
      <c r="F70" t="s">
        <v>174</v>
      </c>
    </row>
    <row r="71" spans="1:11" x14ac:dyDescent="0.2">
      <c r="A71" t="s">
        <v>208</v>
      </c>
      <c r="B71" t="s">
        <v>209</v>
      </c>
      <c r="C71" t="s">
        <v>175</v>
      </c>
      <c r="D71" t="s">
        <v>16</v>
      </c>
      <c r="E71" t="s">
        <v>306</v>
      </c>
      <c r="F71" t="s">
        <v>243</v>
      </c>
    </row>
    <row r="72" spans="1:11" x14ac:dyDescent="0.2">
      <c r="A72" t="s">
        <v>212</v>
      </c>
      <c r="B72" t="s">
        <v>220</v>
      </c>
      <c r="C72" t="s">
        <v>276</v>
      </c>
      <c r="D72" t="s">
        <v>16</v>
      </c>
      <c r="E72" t="s">
        <v>122</v>
      </c>
      <c r="F72" t="s">
        <v>174</v>
      </c>
    </row>
    <row r="73" spans="1:11" x14ac:dyDescent="0.2">
      <c r="A73" t="s">
        <v>213</v>
      </c>
      <c r="B73" t="s">
        <v>220</v>
      </c>
      <c r="C73" t="s">
        <v>276</v>
      </c>
      <c r="D73" t="s">
        <v>100</v>
      </c>
      <c r="E73" t="s">
        <v>66</v>
      </c>
      <c r="F73" t="s">
        <v>241</v>
      </c>
      <c r="G73" t="s">
        <v>204</v>
      </c>
    </row>
    <row r="74" spans="1:11" x14ac:dyDescent="0.2">
      <c r="A74" t="s">
        <v>214</v>
      </c>
      <c r="B74" t="s">
        <v>221</v>
      </c>
      <c r="C74" t="s">
        <v>278</v>
      </c>
      <c r="D74" t="s">
        <v>298</v>
      </c>
      <c r="E74" t="s">
        <v>66</v>
      </c>
      <c r="F74" t="s">
        <v>244</v>
      </c>
    </row>
    <row r="75" spans="1:11" x14ac:dyDescent="0.2">
      <c r="A75" t="s">
        <v>267</v>
      </c>
      <c r="B75" t="s">
        <v>222</v>
      </c>
      <c r="C75" t="s">
        <v>277</v>
      </c>
      <c r="D75" t="s">
        <v>296</v>
      </c>
      <c r="E75" t="s">
        <v>24</v>
      </c>
      <c r="F75" t="s">
        <v>174</v>
      </c>
    </row>
    <row r="76" spans="1:11" x14ac:dyDescent="0.2">
      <c r="A76" t="s">
        <v>215</v>
      </c>
      <c r="B76" t="s">
        <v>223</v>
      </c>
      <c r="C76" t="s">
        <v>279</v>
      </c>
      <c r="D76" t="s">
        <v>299</v>
      </c>
      <c r="E76" t="s">
        <v>66</v>
      </c>
      <c r="F76" t="s">
        <v>174</v>
      </c>
    </row>
    <row r="77" spans="1:11" x14ac:dyDescent="0.2">
      <c r="A77" t="s">
        <v>216</v>
      </c>
      <c r="B77" t="s">
        <v>224</v>
      </c>
      <c r="C77" t="s">
        <v>280</v>
      </c>
      <c r="D77" t="s">
        <v>299</v>
      </c>
      <c r="E77" t="s">
        <v>305</v>
      </c>
      <c r="F77" t="s">
        <v>174</v>
      </c>
    </row>
    <row r="78" spans="1:11" x14ac:dyDescent="0.2">
      <c r="A78" t="s">
        <v>217</v>
      </c>
      <c r="B78" t="s">
        <v>200</v>
      </c>
      <c r="C78" t="s">
        <v>281</v>
      </c>
      <c r="D78" t="s">
        <v>16</v>
      </c>
      <c r="E78" t="s">
        <v>305</v>
      </c>
      <c r="F78" t="s">
        <v>245</v>
      </c>
    </row>
    <row r="79" spans="1:11" x14ac:dyDescent="0.2">
      <c r="A79" t="s">
        <v>218</v>
      </c>
      <c r="B79" t="s">
        <v>225</v>
      </c>
      <c r="C79" t="s">
        <v>285</v>
      </c>
      <c r="D79" t="s">
        <v>296</v>
      </c>
      <c r="E79" t="s">
        <v>66</v>
      </c>
      <c r="F79" t="s">
        <v>136</v>
      </c>
      <c r="G79" t="s">
        <v>283</v>
      </c>
    </row>
    <row r="80" spans="1:11" x14ac:dyDescent="0.2">
      <c r="A80" t="s">
        <v>218</v>
      </c>
      <c r="B80" t="s">
        <v>282</v>
      </c>
      <c r="C80" t="s">
        <v>286</v>
      </c>
      <c r="D80" t="s">
        <v>400</v>
      </c>
      <c r="E80" t="s">
        <v>66</v>
      </c>
      <c r="F80" t="s">
        <v>136</v>
      </c>
      <c r="G80" t="s">
        <v>284</v>
      </c>
    </row>
    <row r="81" spans="1:6" x14ac:dyDescent="0.2">
      <c r="A81" t="s">
        <v>219</v>
      </c>
      <c r="B81" t="s">
        <v>226</v>
      </c>
      <c r="C81" t="s">
        <v>287</v>
      </c>
      <c r="D81" t="s">
        <v>148</v>
      </c>
      <c r="E81" t="s">
        <v>66</v>
      </c>
      <c r="F81" t="s">
        <v>246</v>
      </c>
    </row>
    <row r="82" spans="1:6" x14ac:dyDescent="0.2">
      <c r="A82" t="s">
        <v>227</v>
      </c>
      <c r="B82" t="s">
        <v>253</v>
      </c>
      <c r="C82" t="s">
        <v>288</v>
      </c>
      <c r="D82" t="s">
        <v>19</v>
      </c>
      <c r="E82" t="s">
        <v>49</v>
      </c>
      <c r="F82" t="s">
        <v>47</v>
      </c>
    </row>
    <row r="83" spans="1:6" x14ac:dyDescent="0.2">
      <c r="A83" t="s">
        <v>228</v>
      </c>
      <c r="B83" t="s">
        <v>254</v>
      </c>
      <c r="C83" t="s">
        <v>289</v>
      </c>
      <c r="D83" t="s">
        <v>300</v>
      </c>
      <c r="E83" t="s">
        <v>120</v>
      </c>
      <c r="F83" t="s">
        <v>238</v>
      </c>
    </row>
    <row r="84" spans="1:6" x14ac:dyDescent="0.2">
      <c r="A84" t="s">
        <v>229</v>
      </c>
      <c r="B84" t="s">
        <v>255</v>
      </c>
      <c r="C84" t="s">
        <v>290</v>
      </c>
      <c r="D84" t="s">
        <v>20</v>
      </c>
      <c r="E84" t="s">
        <v>306</v>
      </c>
      <c r="F84" t="s">
        <v>247</v>
      </c>
    </row>
    <row r="85" spans="1:6" x14ac:dyDescent="0.2">
      <c r="A85" t="s">
        <v>242</v>
      </c>
      <c r="B85" t="s">
        <v>256</v>
      </c>
      <c r="C85" t="s">
        <v>15</v>
      </c>
      <c r="D85" t="s">
        <v>20</v>
      </c>
      <c r="E85" t="s">
        <v>66</v>
      </c>
      <c r="F85" t="s">
        <v>248</v>
      </c>
    </row>
    <row r="86" spans="1:6" x14ac:dyDescent="0.2">
      <c r="A86" t="s">
        <v>230</v>
      </c>
      <c r="B86" t="s">
        <v>257</v>
      </c>
      <c r="C86" t="s">
        <v>175</v>
      </c>
      <c r="D86" t="s">
        <v>16</v>
      </c>
      <c r="E86" t="s">
        <v>123</v>
      </c>
      <c r="F86" t="s">
        <v>249</v>
      </c>
    </row>
    <row r="87" spans="1:6" x14ac:dyDescent="0.2">
      <c r="A87" t="s">
        <v>291</v>
      </c>
      <c r="B87" t="s">
        <v>258</v>
      </c>
      <c r="C87" t="s">
        <v>292</v>
      </c>
      <c r="D87" t="s">
        <v>148</v>
      </c>
      <c r="E87" t="s">
        <v>123</v>
      </c>
      <c r="F87" t="s">
        <v>250</v>
      </c>
    </row>
    <row r="88" spans="1:6" x14ac:dyDescent="0.2">
      <c r="A88" t="s">
        <v>231</v>
      </c>
      <c r="B88" t="s">
        <v>259</v>
      </c>
      <c r="C88" t="s">
        <v>279</v>
      </c>
      <c r="D88" t="s">
        <v>16</v>
      </c>
      <c r="E88" t="s">
        <v>123</v>
      </c>
      <c r="F88" t="s">
        <v>251</v>
      </c>
    </row>
    <row r="89" spans="1:6" x14ac:dyDescent="0.2">
      <c r="A89" t="s">
        <v>232</v>
      </c>
      <c r="B89" t="s">
        <v>260</v>
      </c>
      <c r="C89" t="s">
        <v>293</v>
      </c>
      <c r="D89" t="s">
        <v>20</v>
      </c>
      <c r="E89" t="s">
        <v>66</v>
      </c>
      <c r="F89" t="s">
        <v>252</v>
      </c>
    </row>
    <row r="90" spans="1:6" x14ac:dyDescent="0.2">
      <c r="A90" t="s">
        <v>262</v>
      </c>
      <c r="B90" t="s">
        <v>263</v>
      </c>
      <c r="C90" t="s">
        <v>294</v>
      </c>
      <c r="D90" t="s">
        <v>103</v>
      </c>
      <c r="E90" t="s">
        <v>66</v>
      </c>
      <c r="F90" t="s">
        <v>43</v>
      </c>
    </row>
    <row r="91" spans="1:6" x14ac:dyDescent="0.2">
      <c r="A91" t="s">
        <v>264</v>
      </c>
      <c r="B91" t="s">
        <v>265</v>
      </c>
      <c r="C91" t="s">
        <v>12</v>
      </c>
      <c r="D91" t="s">
        <v>16</v>
      </c>
      <c r="E91" t="s">
        <v>23</v>
      </c>
      <c r="F91" t="s">
        <v>266</v>
      </c>
    </row>
    <row r="92" spans="1:6" x14ac:dyDescent="0.2">
      <c r="A92" t="s">
        <v>301</v>
      </c>
      <c r="B92" t="s">
        <v>302</v>
      </c>
      <c r="C92" t="s">
        <v>272</v>
      </c>
      <c r="D92" t="s">
        <v>303</v>
      </c>
      <c r="E92" t="s">
        <v>304</v>
      </c>
      <c r="F92" t="s">
        <v>43</v>
      </c>
    </row>
    <row r="93" spans="1:6" x14ac:dyDescent="0.2">
      <c r="A93" t="s">
        <v>412</v>
      </c>
      <c r="B93" t="s">
        <v>413</v>
      </c>
      <c r="C93" t="s">
        <v>13</v>
      </c>
      <c r="D93" t="s">
        <v>415</v>
      </c>
      <c r="E93" t="s">
        <v>120</v>
      </c>
      <c r="F93" t="s">
        <v>43</v>
      </c>
    </row>
    <row r="94" spans="1:6" x14ac:dyDescent="0.2">
      <c r="A94" t="s">
        <v>414</v>
      </c>
      <c r="B94" t="s">
        <v>413</v>
      </c>
      <c r="C94" t="s">
        <v>13</v>
      </c>
      <c r="D94" t="s">
        <v>415</v>
      </c>
      <c r="E94" t="s">
        <v>120</v>
      </c>
      <c r="F94" t="s">
        <v>43</v>
      </c>
    </row>
    <row r="95" spans="1:6" x14ac:dyDescent="0.2">
      <c r="A95" t="s">
        <v>307</v>
      </c>
      <c r="B95" t="s">
        <v>308</v>
      </c>
      <c r="C95" t="s">
        <v>309</v>
      </c>
      <c r="D95" t="s">
        <v>16</v>
      </c>
      <c r="E95" t="s">
        <v>23</v>
      </c>
      <c r="F95" t="s">
        <v>327</v>
      </c>
    </row>
    <row r="96" spans="1:6" x14ac:dyDescent="0.2">
      <c r="A96" t="s">
        <v>310</v>
      </c>
      <c r="B96" t="s">
        <v>177</v>
      </c>
      <c r="C96" t="s">
        <v>10</v>
      </c>
      <c r="D96" t="s">
        <v>404</v>
      </c>
      <c r="E96" t="s">
        <v>24</v>
      </c>
      <c r="F96" t="s">
        <v>328</v>
      </c>
    </row>
    <row r="97" spans="1:6" x14ac:dyDescent="0.2">
      <c r="A97" t="s">
        <v>311</v>
      </c>
      <c r="B97" t="s">
        <v>312</v>
      </c>
      <c r="C97" t="s">
        <v>15</v>
      </c>
      <c r="D97" t="s">
        <v>298</v>
      </c>
      <c r="E97" t="s">
        <v>66</v>
      </c>
      <c r="F97" t="s">
        <v>172</v>
      </c>
    </row>
    <row r="98" spans="1:6" x14ac:dyDescent="0.2">
      <c r="A98" t="s">
        <v>313</v>
      </c>
      <c r="B98" t="s">
        <v>315</v>
      </c>
      <c r="C98" t="s">
        <v>379</v>
      </c>
      <c r="D98" t="s">
        <v>393</v>
      </c>
      <c r="E98" t="s">
        <v>122</v>
      </c>
      <c r="F98" t="s">
        <v>43</v>
      </c>
    </row>
    <row r="99" spans="1:6" x14ac:dyDescent="0.2">
      <c r="A99" t="s">
        <v>314</v>
      </c>
      <c r="B99" t="s">
        <v>316</v>
      </c>
      <c r="C99" t="s">
        <v>380</v>
      </c>
      <c r="D99" t="s">
        <v>394</v>
      </c>
      <c r="E99" t="s">
        <v>122</v>
      </c>
      <c r="F99" t="s">
        <v>80</v>
      </c>
    </row>
    <row r="100" spans="1:6" x14ac:dyDescent="0.2">
      <c r="A100" t="s">
        <v>317</v>
      </c>
      <c r="B100" t="s">
        <v>322</v>
      </c>
      <c r="C100" t="s">
        <v>13</v>
      </c>
      <c r="D100" t="s">
        <v>103</v>
      </c>
      <c r="E100" t="s">
        <v>49</v>
      </c>
      <c r="F100" t="s">
        <v>77</v>
      </c>
    </row>
    <row r="101" spans="1:6" x14ac:dyDescent="0.2">
      <c r="A101" t="s">
        <v>318</v>
      </c>
      <c r="B101" t="s">
        <v>323</v>
      </c>
      <c r="C101" t="s">
        <v>11</v>
      </c>
      <c r="D101" t="s">
        <v>395</v>
      </c>
      <c r="E101" t="s">
        <v>24</v>
      </c>
      <c r="F101" t="s">
        <v>238</v>
      </c>
    </row>
    <row r="102" spans="1:6" x14ac:dyDescent="0.2">
      <c r="A102" t="s">
        <v>319</v>
      </c>
      <c r="B102" t="s">
        <v>324</v>
      </c>
      <c r="C102" t="s">
        <v>10</v>
      </c>
      <c r="D102" t="s">
        <v>21</v>
      </c>
      <c r="E102" t="s">
        <v>24</v>
      </c>
      <c r="F102" t="s">
        <v>43</v>
      </c>
    </row>
    <row r="103" spans="1:6" x14ac:dyDescent="0.2">
      <c r="A103" t="s">
        <v>320</v>
      </c>
      <c r="B103" t="s">
        <v>321</v>
      </c>
      <c r="C103" t="s">
        <v>13</v>
      </c>
      <c r="D103" t="s">
        <v>148</v>
      </c>
      <c r="E103" t="s">
        <v>49</v>
      </c>
      <c r="F103" t="s">
        <v>329</v>
      </c>
    </row>
    <row r="104" spans="1:6" x14ac:dyDescent="0.2">
      <c r="A104" t="s">
        <v>325</v>
      </c>
      <c r="B104" t="s">
        <v>282</v>
      </c>
      <c r="C104" t="s">
        <v>10</v>
      </c>
      <c r="D104" t="s">
        <v>399</v>
      </c>
      <c r="E104" t="s">
        <v>123</v>
      </c>
      <c r="F104" t="s">
        <v>326</v>
      </c>
    </row>
    <row r="105" spans="1:6" x14ac:dyDescent="0.2">
      <c r="A105" t="s">
        <v>330</v>
      </c>
      <c r="B105" t="s">
        <v>331</v>
      </c>
      <c r="C105" t="s">
        <v>10</v>
      </c>
      <c r="D105" t="s">
        <v>16</v>
      </c>
      <c r="E105" t="s">
        <v>66</v>
      </c>
      <c r="F105" t="s">
        <v>326</v>
      </c>
    </row>
    <row r="106" spans="1:6" x14ac:dyDescent="0.2">
      <c r="A106" t="s">
        <v>332</v>
      </c>
      <c r="B106" t="s">
        <v>333</v>
      </c>
      <c r="C106" t="s">
        <v>384</v>
      </c>
      <c r="D106" t="s">
        <v>16</v>
      </c>
      <c r="E106" t="s">
        <v>24</v>
      </c>
      <c r="F106" t="s">
        <v>247</v>
      </c>
    </row>
    <row r="107" spans="1:6" x14ac:dyDescent="0.2">
      <c r="A107" t="s">
        <v>334</v>
      </c>
      <c r="B107" t="s">
        <v>335</v>
      </c>
      <c r="C107" t="s">
        <v>270</v>
      </c>
      <c r="D107" t="s">
        <v>103</v>
      </c>
      <c r="E107" t="s">
        <v>23</v>
      </c>
      <c r="F107" t="s">
        <v>247</v>
      </c>
    </row>
    <row r="108" spans="1:6" x14ac:dyDescent="0.2">
      <c r="A108" t="s">
        <v>336</v>
      </c>
      <c r="B108" t="s">
        <v>337</v>
      </c>
      <c r="C108" t="s">
        <v>385</v>
      </c>
      <c r="D108" t="s">
        <v>20</v>
      </c>
      <c r="E108" t="s">
        <v>66</v>
      </c>
      <c r="F108" t="s">
        <v>233</v>
      </c>
    </row>
    <row r="109" spans="1:6" x14ac:dyDescent="0.2">
      <c r="A109" t="s">
        <v>338</v>
      </c>
      <c r="B109" t="s">
        <v>339</v>
      </c>
      <c r="C109" t="s">
        <v>294</v>
      </c>
      <c r="D109" t="s">
        <v>16</v>
      </c>
      <c r="E109" t="s">
        <v>66</v>
      </c>
      <c r="F109" t="s">
        <v>79</v>
      </c>
    </row>
    <row r="110" spans="1:6" x14ac:dyDescent="0.2">
      <c r="A110" t="s">
        <v>340</v>
      </c>
      <c r="B110" t="s">
        <v>341</v>
      </c>
      <c r="C110" t="s">
        <v>386</v>
      </c>
      <c r="D110" t="s">
        <v>20</v>
      </c>
      <c r="E110" t="s">
        <v>66</v>
      </c>
      <c r="F110" t="s">
        <v>358</v>
      </c>
    </row>
    <row r="111" spans="1:6" x14ac:dyDescent="0.2">
      <c r="A111" t="s">
        <v>342</v>
      </c>
      <c r="B111" t="s">
        <v>343</v>
      </c>
      <c r="C111" t="s">
        <v>12</v>
      </c>
      <c r="D111" t="s">
        <v>20</v>
      </c>
      <c r="E111" t="s">
        <v>66</v>
      </c>
      <c r="F111" t="s">
        <v>236</v>
      </c>
    </row>
    <row r="112" spans="1:6" x14ac:dyDescent="0.2">
      <c r="A112" t="s">
        <v>344</v>
      </c>
      <c r="B112" t="s">
        <v>345</v>
      </c>
      <c r="C112" t="s">
        <v>387</v>
      </c>
      <c r="D112" t="s">
        <v>16</v>
      </c>
      <c r="E112" t="s">
        <v>137</v>
      </c>
      <c r="F112" t="s">
        <v>235</v>
      </c>
    </row>
    <row r="113" spans="1:6" x14ac:dyDescent="0.2">
      <c r="A113" t="s">
        <v>346</v>
      </c>
      <c r="B113" t="s">
        <v>347</v>
      </c>
      <c r="C113" t="s">
        <v>13</v>
      </c>
      <c r="D113" t="s">
        <v>103</v>
      </c>
      <c r="E113" t="s">
        <v>66</v>
      </c>
      <c r="F113" t="s">
        <v>172</v>
      </c>
    </row>
    <row r="114" spans="1:6" x14ac:dyDescent="0.2">
      <c r="A114" t="s">
        <v>348</v>
      </c>
      <c r="B114" t="s">
        <v>354</v>
      </c>
      <c r="C114" t="s">
        <v>207</v>
      </c>
      <c r="D114" t="s">
        <v>178</v>
      </c>
      <c r="E114" t="s">
        <v>66</v>
      </c>
      <c r="F114" t="s">
        <v>79</v>
      </c>
    </row>
    <row r="115" spans="1:6" x14ac:dyDescent="0.2">
      <c r="A115" t="s">
        <v>349</v>
      </c>
      <c r="B115" t="s">
        <v>354</v>
      </c>
      <c r="C115" t="s">
        <v>10</v>
      </c>
      <c r="D115" t="s">
        <v>178</v>
      </c>
      <c r="E115" t="s">
        <v>66</v>
      </c>
      <c r="F115" t="s">
        <v>172</v>
      </c>
    </row>
    <row r="116" spans="1:6" x14ac:dyDescent="0.2">
      <c r="A116" t="s">
        <v>350</v>
      </c>
      <c r="B116" t="s">
        <v>355</v>
      </c>
      <c r="C116" t="s">
        <v>10</v>
      </c>
      <c r="D116" t="s">
        <v>401</v>
      </c>
      <c r="E116" t="s">
        <v>66</v>
      </c>
      <c r="F116" t="s">
        <v>359</v>
      </c>
    </row>
    <row r="117" spans="1:6" x14ac:dyDescent="0.2">
      <c r="A117" t="s">
        <v>351</v>
      </c>
      <c r="B117" t="s">
        <v>352</v>
      </c>
      <c r="C117" t="s">
        <v>294</v>
      </c>
      <c r="D117" t="s">
        <v>402</v>
      </c>
      <c r="E117" t="s">
        <v>66</v>
      </c>
      <c r="F117" t="s">
        <v>136</v>
      </c>
    </row>
    <row r="118" spans="1:6" x14ac:dyDescent="0.2">
      <c r="A118" t="s">
        <v>353</v>
      </c>
      <c r="B118" t="s">
        <v>50</v>
      </c>
      <c r="C118" t="s">
        <v>269</v>
      </c>
      <c r="D118" t="s">
        <v>103</v>
      </c>
      <c r="E118" t="s">
        <v>49</v>
      </c>
      <c r="F118" t="s">
        <v>43</v>
      </c>
    </row>
    <row r="119" spans="1:6" x14ac:dyDescent="0.2">
      <c r="A119" t="s">
        <v>356</v>
      </c>
      <c r="B119" t="s">
        <v>357</v>
      </c>
      <c r="C119" t="s">
        <v>10</v>
      </c>
      <c r="D119" t="s">
        <v>398</v>
      </c>
      <c r="E119" t="s">
        <v>405</v>
      </c>
      <c r="F119" t="s">
        <v>79</v>
      </c>
    </row>
    <row r="120" spans="1:6" x14ac:dyDescent="0.2">
      <c r="A120" t="s">
        <v>360</v>
      </c>
      <c r="B120" t="s">
        <v>361</v>
      </c>
      <c r="C120" t="s">
        <v>269</v>
      </c>
      <c r="D120" t="s">
        <v>398</v>
      </c>
      <c r="E120" t="s">
        <v>66</v>
      </c>
      <c r="F120" t="s">
        <v>82</v>
      </c>
    </row>
    <row r="121" spans="1:6" x14ac:dyDescent="0.2">
      <c r="A121" t="s">
        <v>362</v>
      </c>
      <c r="B121" t="s">
        <v>363</v>
      </c>
      <c r="C121" t="s">
        <v>64</v>
      </c>
      <c r="D121" t="s">
        <v>100</v>
      </c>
      <c r="F121" t="s">
        <v>235</v>
      </c>
    </row>
    <row r="122" spans="1:6" x14ac:dyDescent="0.2">
      <c r="A122" t="s">
        <v>364</v>
      </c>
      <c r="B122" t="s">
        <v>365</v>
      </c>
      <c r="C122" t="s">
        <v>15</v>
      </c>
      <c r="D122" t="s">
        <v>398</v>
      </c>
      <c r="E122" t="s">
        <v>66</v>
      </c>
      <c r="F122" t="s">
        <v>154</v>
      </c>
    </row>
    <row r="123" spans="1:6" x14ac:dyDescent="0.2">
      <c r="A123" t="s">
        <v>366</v>
      </c>
      <c r="B123" t="s">
        <v>367</v>
      </c>
      <c r="C123" t="s">
        <v>388</v>
      </c>
      <c r="D123" t="s">
        <v>399</v>
      </c>
      <c r="E123" t="s">
        <v>123</v>
      </c>
      <c r="F123" t="s">
        <v>79</v>
      </c>
    </row>
    <row r="124" spans="1:6" x14ac:dyDescent="0.2">
      <c r="A124" t="s">
        <v>368</v>
      </c>
      <c r="B124" t="s">
        <v>369</v>
      </c>
      <c r="C124" t="s">
        <v>10</v>
      </c>
      <c r="D124" t="s">
        <v>398</v>
      </c>
      <c r="E124" t="s">
        <v>66</v>
      </c>
      <c r="F124" t="s">
        <v>77</v>
      </c>
    </row>
    <row r="125" spans="1:6" x14ac:dyDescent="0.2">
      <c r="A125" t="s">
        <v>370</v>
      </c>
      <c r="B125" t="s">
        <v>371</v>
      </c>
      <c r="C125" t="s">
        <v>294</v>
      </c>
      <c r="D125" t="s">
        <v>103</v>
      </c>
      <c r="E125" t="s">
        <v>121</v>
      </c>
      <c r="F125" t="s">
        <v>43</v>
      </c>
    </row>
    <row r="126" spans="1:6" x14ac:dyDescent="0.2">
      <c r="A126" t="s">
        <v>372</v>
      </c>
      <c r="B126" t="s">
        <v>373</v>
      </c>
      <c r="C126" t="s">
        <v>294</v>
      </c>
      <c r="D126" t="s">
        <v>103</v>
      </c>
      <c r="E126" t="s">
        <v>121</v>
      </c>
      <c r="F126" t="s">
        <v>43</v>
      </c>
    </row>
    <row r="127" spans="1:6" x14ac:dyDescent="0.2">
      <c r="A127" t="s">
        <v>374</v>
      </c>
      <c r="B127" t="s">
        <v>376</v>
      </c>
      <c r="C127" t="s">
        <v>15</v>
      </c>
      <c r="D127" t="s">
        <v>398</v>
      </c>
      <c r="E127" t="s">
        <v>405</v>
      </c>
      <c r="F127" t="s">
        <v>375</v>
      </c>
    </row>
    <row r="128" spans="1:6" x14ac:dyDescent="0.2">
      <c r="A128" t="s">
        <v>377</v>
      </c>
      <c r="B128" t="s">
        <v>378</v>
      </c>
      <c r="C128" t="s">
        <v>391</v>
      </c>
      <c r="D128" t="s">
        <v>16</v>
      </c>
      <c r="E128" t="s">
        <v>122</v>
      </c>
      <c r="F128" t="s">
        <v>235</v>
      </c>
    </row>
    <row r="129" spans="1:7" x14ac:dyDescent="0.2">
      <c r="A129" t="s">
        <v>381</v>
      </c>
      <c r="B129" t="s">
        <v>383</v>
      </c>
      <c r="C129" t="s">
        <v>13</v>
      </c>
      <c r="D129" t="s">
        <v>398</v>
      </c>
      <c r="E129" t="s">
        <v>24</v>
      </c>
      <c r="F129" t="s">
        <v>78</v>
      </c>
    </row>
    <row r="130" spans="1:7" x14ac:dyDescent="0.2">
      <c r="A130" t="s">
        <v>382</v>
      </c>
      <c r="B130" t="s">
        <v>383</v>
      </c>
      <c r="C130" t="s">
        <v>13</v>
      </c>
      <c r="D130" t="s">
        <v>398</v>
      </c>
      <c r="E130" t="s">
        <v>24</v>
      </c>
      <c r="F130" t="s">
        <v>79</v>
      </c>
    </row>
    <row r="131" spans="1:7" x14ac:dyDescent="0.2">
      <c r="A131" t="s">
        <v>389</v>
      </c>
      <c r="B131" t="s">
        <v>390</v>
      </c>
      <c r="C131" t="s">
        <v>392</v>
      </c>
      <c r="D131" t="s">
        <v>395</v>
      </c>
      <c r="E131" t="s">
        <v>24</v>
      </c>
      <c r="F131" t="s">
        <v>238</v>
      </c>
    </row>
    <row r="132" spans="1:7" x14ac:dyDescent="0.2">
      <c r="A132" t="s">
        <v>396</v>
      </c>
      <c r="B132" t="s">
        <v>397</v>
      </c>
      <c r="C132" t="s">
        <v>147</v>
      </c>
      <c r="D132" t="s">
        <v>303</v>
      </c>
      <c r="E132" t="s">
        <v>49</v>
      </c>
      <c r="F132" t="s">
        <v>79</v>
      </c>
    </row>
    <row r="133" spans="1:7" x14ac:dyDescent="0.2">
      <c r="A133" t="s">
        <v>406</v>
      </c>
      <c r="B133" t="s">
        <v>409</v>
      </c>
      <c r="C133" t="s">
        <v>13</v>
      </c>
      <c r="D133" t="s">
        <v>19</v>
      </c>
      <c r="E133" t="s">
        <v>23</v>
      </c>
      <c r="F133" t="s">
        <v>84</v>
      </c>
    </row>
    <row r="134" spans="1:7" x14ac:dyDescent="0.2">
      <c r="A134" t="s">
        <v>407</v>
      </c>
      <c r="B134" t="s">
        <v>410</v>
      </c>
      <c r="C134" t="s">
        <v>13</v>
      </c>
      <c r="D134" t="s">
        <v>416</v>
      </c>
      <c r="E134" t="s">
        <v>23</v>
      </c>
      <c r="F134" t="s">
        <v>154</v>
      </c>
    </row>
    <row r="135" spans="1:7" x14ac:dyDescent="0.2">
      <c r="A135" t="s">
        <v>408</v>
      </c>
      <c r="B135" t="s">
        <v>411</v>
      </c>
      <c r="C135" t="s">
        <v>385</v>
      </c>
      <c r="D135" t="s">
        <v>16</v>
      </c>
      <c r="E135" t="s">
        <v>24</v>
      </c>
      <c r="F135" t="s">
        <v>358</v>
      </c>
    </row>
    <row r="136" spans="1:7" x14ac:dyDescent="0.2">
      <c r="A136" t="s">
        <v>417</v>
      </c>
      <c r="B136" t="s">
        <v>419</v>
      </c>
      <c r="C136" t="s">
        <v>10</v>
      </c>
      <c r="D136" t="s">
        <v>400</v>
      </c>
      <c r="E136" t="s">
        <v>405</v>
      </c>
      <c r="F136" t="s">
        <v>239</v>
      </c>
    </row>
    <row r="137" spans="1:7" x14ac:dyDescent="0.2">
      <c r="A137" t="s">
        <v>418</v>
      </c>
      <c r="B137" t="s">
        <v>420</v>
      </c>
      <c r="C137" t="s">
        <v>272</v>
      </c>
      <c r="D137" t="s">
        <v>16</v>
      </c>
      <c r="E137" t="s">
        <v>405</v>
      </c>
      <c r="F137" t="s">
        <v>240</v>
      </c>
    </row>
    <row r="138" spans="1:7" x14ac:dyDescent="0.2">
      <c r="A138" t="s">
        <v>421</v>
      </c>
      <c r="B138" t="s">
        <v>428</v>
      </c>
      <c r="C138" t="s">
        <v>175</v>
      </c>
      <c r="D138" t="s">
        <v>16</v>
      </c>
      <c r="E138" t="s">
        <v>66</v>
      </c>
      <c r="F138" t="s">
        <v>327</v>
      </c>
    </row>
    <row r="139" spans="1:7" x14ac:dyDescent="0.2">
      <c r="A139" t="s">
        <v>422</v>
      </c>
      <c r="B139" t="s">
        <v>426</v>
      </c>
      <c r="C139" t="s">
        <v>13</v>
      </c>
      <c r="D139" t="s">
        <v>18</v>
      </c>
      <c r="E139" t="s">
        <v>49</v>
      </c>
      <c r="F139" t="s">
        <v>43</v>
      </c>
    </row>
    <row r="140" spans="1:7" x14ac:dyDescent="0.2">
      <c r="A140" t="s">
        <v>423</v>
      </c>
      <c r="B140" t="s">
        <v>431</v>
      </c>
      <c r="C140" t="s">
        <v>175</v>
      </c>
      <c r="D140" t="s">
        <v>399</v>
      </c>
      <c r="E140" t="s">
        <v>66</v>
      </c>
      <c r="F140" t="s">
        <v>143</v>
      </c>
      <c r="G140" t="s">
        <v>432</v>
      </c>
    </row>
    <row r="141" spans="1:7" x14ac:dyDescent="0.2">
      <c r="A141" t="s">
        <v>424</v>
      </c>
      <c r="B141" t="s">
        <v>425</v>
      </c>
      <c r="C141" t="s">
        <v>430</v>
      </c>
      <c r="D141" t="s">
        <v>399</v>
      </c>
      <c r="E141" t="s">
        <v>66</v>
      </c>
      <c r="F141" t="s">
        <v>143</v>
      </c>
      <c r="G141" t="s">
        <v>432</v>
      </c>
    </row>
    <row r="142" spans="1:7" x14ac:dyDescent="0.2">
      <c r="A142" t="s">
        <v>427</v>
      </c>
      <c r="B142" t="s">
        <v>429</v>
      </c>
      <c r="C142" t="s">
        <v>10</v>
      </c>
      <c r="D142" t="s">
        <v>16</v>
      </c>
      <c r="E142" t="s">
        <v>123</v>
      </c>
      <c r="F142" t="s">
        <v>245</v>
      </c>
    </row>
    <row r="143" spans="1:7" x14ac:dyDescent="0.2">
      <c r="A143" t="s">
        <v>434</v>
      </c>
      <c r="B143" t="s">
        <v>435</v>
      </c>
      <c r="C143" t="s">
        <v>275</v>
      </c>
      <c r="D143" t="s">
        <v>16</v>
      </c>
      <c r="E143" t="s">
        <v>23</v>
      </c>
      <c r="F143" t="s">
        <v>43</v>
      </c>
    </row>
    <row r="144" spans="1:7" x14ac:dyDescent="0.2">
      <c r="A144" t="s">
        <v>441</v>
      </c>
      <c r="B144" t="s">
        <v>439</v>
      </c>
      <c r="C144" t="s">
        <v>10</v>
      </c>
      <c r="D144" t="s">
        <v>16</v>
      </c>
      <c r="E144" t="s">
        <v>24</v>
      </c>
      <c r="F144" t="s">
        <v>238</v>
      </c>
    </row>
    <row r="145" spans="1:6" x14ac:dyDescent="0.2">
      <c r="A145" t="s">
        <v>437</v>
      </c>
      <c r="B145" t="s">
        <v>442</v>
      </c>
      <c r="C145" t="s">
        <v>13</v>
      </c>
      <c r="D145" t="s">
        <v>103</v>
      </c>
      <c r="E145" t="s">
        <v>440</v>
      </c>
      <c r="F145" t="s">
        <v>438</v>
      </c>
    </row>
    <row r="146" spans="1:6" x14ac:dyDescent="0.2">
      <c r="A146" t="s">
        <v>443</v>
      </c>
      <c r="B146" t="s">
        <v>448</v>
      </c>
      <c r="C146" t="s">
        <v>444</v>
      </c>
      <c r="D146" t="s">
        <v>445</v>
      </c>
      <c r="E146" t="s">
        <v>304</v>
      </c>
      <c r="F146" t="s">
        <v>443</v>
      </c>
    </row>
    <row r="147" spans="1:6" x14ac:dyDescent="0.2">
      <c r="A147" t="s">
        <v>446</v>
      </c>
      <c r="B147" t="s">
        <v>447</v>
      </c>
      <c r="C147" t="s">
        <v>268</v>
      </c>
      <c r="D147" t="s">
        <v>20</v>
      </c>
      <c r="E147" t="s">
        <v>66</v>
      </c>
      <c r="F147" t="s">
        <v>136</v>
      </c>
    </row>
    <row r="148" spans="1:6" x14ac:dyDescent="0.2">
      <c r="A148" t="s">
        <v>449</v>
      </c>
      <c r="B148" t="s">
        <v>450</v>
      </c>
      <c r="C148" t="s">
        <v>451</v>
      </c>
      <c r="F148" t="s">
        <v>174</v>
      </c>
    </row>
  </sheetData>
  <autoFilter ref="A1:F143" xr:uid="{F1DFAC77-F4AF-8145-B2D1-D6DEAAC39417}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2026-01-29T05:59:52Z</dcterms:created>
  <dcterms:modified xsi:type="dcterms:W3CDTF">2026-03-16T14:01:58Z</dcterms:modified>
</cp:coreProperties>
</file>